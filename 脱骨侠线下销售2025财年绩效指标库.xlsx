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ngf\Desktop\"/>
    </mc:Choice>
  </mc:AlternateContent>
  <xr:revisionPtr revIDLastSave="0" documentId="8_{C178C537-10CF-4A70-8CAA-8203A9A912B2}" xr6:coauthVersionLast="47" xr6:coauthVersionMax="47" xr10:uidLastSave="{00000000-0000-0000-0000-000000000000}"/>
  <bookViews>
    <workbookView xWindow="-98" yWindow="-98" windowWidth="23236" windowHeight="13875" tabRatio="788" firstSheet="3" activeTab="3" xr2:uid="{00000000-000D-0000-FFFF-FFFF00000000}"/>
  </bookViews>
  <sheets>
    <sheet name="1-2储备GM" sheetId="389" state="hidden" r:id="rId1"/>
    <sheet name="1-2政企大客户经理（新增）" sheetId="469" state="hidden" r:id="rId2"/>
    <sheet name="营业所长2025财年SQ1绩效指标库" sheetId="515" state="hidden" r:id="rId3"/>
    <sheet name="1、休食事业中心总监" sheetId="534" r:id="rId4"/>
    <sheet name="2、餐饮事业中心总监" sheetId="541" r:id="rId5"/>
    <sheet name="3、大客事业中心总监" sheetId="542" r:id="rId6"/>
    <sheet name="4、休食大区总监" sheetId="535" r:id="rId7"/>
    <sheet name="5、餐饮大区总监" sheetId="543" r:id="rId8"/>
    <sheet name="6、大客KA渠道总监" sheetId="536" r:id="rId9"/>
    <sheet name="7、大客零食渠道总监" sheetId="539" r:id="rId10"/>
    <sheet name="8、大客会员店渠道总监" sheetId="540" r:id="rId11"/>
    <sheet name="9、大客创新渠道总监" sheetId="546" r:id="rId12"/>
    <sheet name="10、大客餐饮渠道总监" sheetId="547" r:id="rId13"/>
    <sheet name="11、休食省区经理" sheetId="537" r:id="rId14"/>
    <sheet name="12、餐饮省区经理" sheetId="544" r:id="rId15"/>
    <sheet name="13、大客KA渠道经理" sheetId="538" r:id="rId16"/>
    <sheet name="Sheet5" sheetId="545" r:id="rId17"/>
    <sheet name="7-4特通开发业代（新增）" sheetId="463" state="hidden" r:id="rId18"/>
    <sheet name="7-7餐饮管理业代" sheetId="373" state="hidden" r:id="rId19"/>
    <sheet name="7-8批发管理业代（新增）" sheetId="370" state="hidden" r:id="rId20"/>
  </sheets>
  <externalReferences>
    <externalReference r:id="rId21"/>
  </externalReferences>
  <definedNames>
    <definedName name="aa">'[1]#REF!'!$AC$40</definedName>
    <definedName name="_xlnm.Print_Area" localSheetId="18">'7-7餐饮管理业代'!$A$1:$H$36</definedName>
    <definedName name="_xlnm.Print_Area" localSheetId="19">'7-8批发管理业代（新增）'!$A$1:$H$36</definedName>
    <definedName name="SAPBEXrevision" hidden="1">19</definedName>
    <definedName name="SAPBEXsysID" hidden="1">"PBB"</definedName>
    <definedName name="SAPBEXwbID" hidden="1">"DICDQ2GD7PTBMID2LIK3LA4MD"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370" l="1"/>
  <c r="H20" i="373"/>
  <c r="H20" i="463"/>
  <c r="E15" i="538"/>
  <c r="E18" i="537"/>
  <c r="E9" i="547"/>
  <c r="E15" i="546"/>
  <c r="E9" i="540"/>
  <c r="E14" i="539"/>
  <c r="E17" i="536"/>
  <c r="E17" i="535"/>
  <c r="E23" i="542"/>
  <c r="E15" i="534"/>
  <c r="H20" i="469"/>
  <c r="H20" i="389"/>
</calcChain>
</file>

<file path=xl/sharedStrings.xml><?xml version="1.0" encoding="utf-8"?>
<sst xmlns="http://schemas.openxmlformats.org/spreadsheetml/2006/main" count="1329" uniqueCount="410">
  <si>
    <t>岗位说明书（2018版）</t>
  </si>
  <si>
    <t xml:space="preserve">  百饮事业  营业  功能  储备GM</t>
  </si>
  <si>
    <t>编号：</t>
  </si>
  <si>
    <t>62-003</t>
  </si>
  <si>
    <t>006</t>
  </si>
  <si>
    <t>2018-001</t>
  </si>
  <si>
    <t>岗位职掌</t>
  </si>
  <si>
    <t>人才规格、职位评价、人格特质、专业职能、职涯路径</t>
  </si>
  <si>
    <t>所需培训</t>
  </si>
  <si>
    <t>时数</t>
  </si>
  <si>
    <t xml:space="preserve">
一、KPI达成
    1、协助GM做好部分营业部的日常营运管理
    2、各营业部业绩及利润预算目标的健康达成
    2、ATP&amp;TP费用在年度预算内的精准运用
    3、推动各项专案执行并达成
　 4、落实通路精耕政策，完善通路各阶客户的布建，
          提升通路掌握与服务
二、管理
    1、主持部门内各项会议
    2、客户的拜访与客户关系维系
    3、依辖区内竞争态势及市场变化，调整行销策略,快速应对
    4、强化团队训练与技能提升，打造高效团队</t>
  </si>
  <si>
    <t>人才规格</t>
  </si>
  <si>
    <t>性别</t>
  </si>
  <si>
    <t>不限</t>
  </si>
  <si>
    <t>年龄</t>
  </si>
  <si>
    <t>30岁以上,50岁以内</t>
  </si>
  <si>
    <t>管理/领导统御之课程：</t>
  </si>
  <si>
    <t>学历</t>
  </si>
  <si>
    <t xml:space="preserve">本科（含）以上 </t>
  </si>
  <si>
    <t xml:space="preserve">   处级储备主管培训课程</t>
  </si>
  <si>
    <t>学历（新人）</t>
  </si>
  <si>
    <t>/</t>
  </si>
  <si>
    <t xml:space="preserve">   科级储备主管培训课程</t>
  </si>
  <si>
    <t>专业</t>
  </si>
  <si>
    <t>市场营销、企业管理优先</t>
  </si>
  <si>
    <t>专业技能课程：</t>
  </si>
  <si>
    <t>注：具与该岗位相同功能3年（含）以上经验者，视同专业符合</t>
  </si>
  <si>
    <t xml:space="preserve">  财务报表策略分析</t>
  </si>
  <si>
    <t xml:space="preserve">  通路的策略发展与管理系统</t>
  </si>
  <si>
    <t xml:space="preserve">  供应链系统的优化与延伸管理</t>
  </si>
  <si>
    <t>语言</t>
  </si>
  <si>
    <t>具英语四级水平</t>
  </si>
  <si>
    <t xml:space="preserve">  低成本高效益的促销运作模板</t>
  </si>
  <si>
    <t>经历</t>
  </si>
  <si>
    <t>内部:须有营业部长2年以上经验，
外聘:快消品行业经验10年以上,5年以上区域主管经验</t>
  </si>
  <si>
    <t xml:space="preserve">  品牌行销的理论基础与实践方案</t>
  </si>
  <si>
    <t xml:space="preserve">  MT的策略发展与零售商协作</t>
  </si>
  <si>
    <t>职位
评价</t>
  </si>
  <si>
    <t>9-10职等</t>
  </si>
  <si>
    <t>合计</t>
  </si>
  <si>
    <t>人格
特质</t>
  </si>
  <si>
    <t>■将     ■将相     □相将    □相</t>
  </si>
  <si>
    <t>军训天数</t>
  </si>
  <si>
    <t>用人原则</t>
  </si>
  <si>
    <t>周工作日</t>
  </si>
  <si>
    <t>组织职责</t>
  </si>
  <si>
    <t>专业职能</t>
  </si>
  <si>
    <t>专业技能
1、具备市场营销专业、企业运营管理、业务岗位专业知识；
2、具备领导统御能力、市场洞察能力、业务需求解读能力、沟通协调能力、冲突管理能力、诊断分析能力、专案管理能力</t>
  </si>
  <si>
    <t>□本地人
■非本地人
□不限</t>
  </si>
  <si>
    <t>■正常班五天制
□倒班</t>
  </si>
  <si>
    <t>1、百饮事业通路精耕政策的推动、执行，
      以及通路策略的承接、转化、落实、执行
2、行销公司辖区内通路布建与销售平台搭建的规划、实施、追踪
3、承接品牌/通路策略，推动辖区内品牌布建及品牌形象的树立
4、快速应对辖区内市场、竞争变化，持续扩大市占，
      达成销售/利润目标
5、组建敏捷组织，打造高效团队，储备营业人才</t>
  </si>
  <si>
    <t>反商业贿赂承诺书</t>
  </si>
  <si>
    <t>职涯路径/在职时间</t>
  </si>
  <si>
    <t>■是
□否</t>
  </si>
  <si>
    <t>异动原则（红绿黄灯）</t>
  </si>
  <si>
    <t>面试负责人</t>
  </si>
  <si>
    <t>本岗位最短服务年限（黄灯）</t>
  </si>
  <si>
    <t>事业总裁</t>
  </si>
  <si>
    <t>3年</t>
  </si>
  <si>
    <t>本岗位最长服务年限（红灯）</t>
  </si>
  <si>
    <t>4年</t>
  </si>
  <si>
    <t>入职时间（当月1日、遇节假日顺延）</t>
  </si>
  <si>
    <t>□年  □半年  □季  □单月  ■月</t>
  </si>
  <si>
    <t>核准：</t>
  </si>
  <si>
    <t>审核：</t>
  </si>
  <si>
    <t>制表：</t>
  </si>
  <si>
    <t>岗位说明书（2019版）</t>
  </si>
  <si>
    <r>
      <rPr>
        <sz val="12"/>
        <color indexed="8"/>
        <rFont val="微软雅黑"/>
        <charset val="134"/>
      </rPr>
      <t xml:space="preserve">  百</t>
    </r>
    <r>
      <rPr>
        <u/>
        <sz val="12"/>
        <color indexed="8"/>
        <rFont val="微软雅黑"/>
        <charset val="134"/>
      </rPr>
      <t xml:space="preserve">饮事业  营业  功能   </t>
    </r>
  </si>
  <si>
    <t>政企大客户经理</t>
  </si>
  <si>
    <t>岗位编码：</t>
  </si>
  <si>
    <t>2019-001</t>
  </si>
  <si>
    <t>一、负责辖区内政府/企事业等单位的客户资料建档/联络
二、负责辖区内大客户的谈判与交易
       1、团购合作
       2、场景内VM和现调机投放洽谈（重点食堂）
三、督导/协助各营业部政府/企事业单位开发
四、GM交办其它事务</t>
  </si>
  <si>
    <t>专业类：</t>
  </si>
  <si>
    <t>22岁以上</t>
  </si>
  <si>
    <t xml:space="preserve">   政府/企事业采购</t>
  </si>
  <si>
    <t>大专（含）以上</t>
  </si>
  <si>
    <t xml:space="preserve">   公关能力</t>
  </si>
  <si>
    <t>大本（含）以上</t>
  </si>
  <si>
    <t xml:space="preserve">   谈判技巧</t>
  </si>
  <si>
    <t>企业管理、行政管理、公关管理等</t>
  </si>
  <si>
    <t>政府/企事业单位从事销售/采购/行政等对外作业经验或公关公司/礼品公司经验</t>
  </si>
  <si>
    <t>6-7职等</t>
  </si>
  <si>
    <t xml:space="preserve"> □将     ■将相    ■相将    □相</t>
  </si>
  <si>
    <t>专业职能
  1.具有政府/企事业单位采购谈判技能/公关能力
  2.具开拓性、积极主动善于沟通；</t>
  </si>
  <si>
    <t>□本地人
□非本地人
■不限</t>
  </si>
  <si>
    <t>■ 正常班五天制
□ 倒班</t>
  </si>
  <si>
    <t>GM</t>
  </si>
  <si>
    <t>5年</t>
  </si>
  <si>
    <t>主要来于与外聘有经验人员</t>
  </si>
  <si>
    <t>营业所长2025财年SQ1绩效指标库</t>
  </si>
  <si>
    <t>序号</t>
  </si>
  <si>
    <t>岗位</t>
  </si>
  <si>
    <t>考核维度</t>
  </si>
  <si>
    <t>指标名称</t>
  </si>
  <si>
    <t>建议
权重</t>
  </si>
  <si>
    <t>目标值</t>
  </si>
  <si>
    <t>指标定义</t>
  </si>
  <si>
    <t>核算公式</t>
  </si>
  <si>
    <t>数据提供部门</t>
  </si>
  <si>
    <t>OT营业所</t>
  </si>
  <si>
    <t>产品力</t>
  </si>
  <si>
    <t>月度M1+1主力品项销售计划达成率</t>
  </si>
  <si>
    <t>≧20%</t>
  </si>
  <si>
    <t>“主力品项”主要为明星产品/金牛产品/常销产品S/A/B类主力品项，主要考核行销单位“经销+直营”的品项目标量，不含跨区双挂销量，按规格别进行核算考核，具体详见行销单位营业所“月度M1+1主力品项考核目标通知”，考核行销单位营业所月度M1+1 SAB主力品项销售计划达成情况，按规格别统计。
X≥87%，得分为满分；
70%≤X＜87%，按线性得分；
X＜70%，得分为0分。</t>
  </si>
  <si>
    <t>月度实际达成的SAB主力品项箱数/规划的SAB主力品项箱数*100%</t>
  </si>
  <si>
    <t>营管处</t>
  </si>
  <si>
    <t>OT/DSM1+2共创/定制/标品上架计划达成率</t>
  </si>
  <si>
    <t>“共创/定制/标品上架品项”主要为OT/DS系统各营销节点规划的“共创产品”、“定制产品”、“标品”的上架品项，行销单位直营OT/DS系统须100%按月以SKU别统计考核，依据月度SMAPM1+2品牌策略，以RVP审核的行销单位月度行动计划确定方案进行考核，以OT/DS系统当期有效订单核计，按月管理，按季度考核。
X≥85%，得分为满分；
60%≤X＜85%，按线性得分；
X＜60%，得分为0分。</t>
  </si>
  <si>
    <t>实际上架的系统数/目标上架的系统数*100%</t>
  </si>
  <si>
    <t>渠道力</t>
  </si>
  <si>
    <t>月度OT合格店打造积分目标达成率(必选)</t>
  </si>
  <si>
    <t>根据行销公司下发的合格店打造目标，结合《合格店考核管理办法》标准进行考核，考核累计打造的合格店数量，主要分为溜溜梅、梅冻、西梅纤生合格店。
X≥87%，得分为满分；
70%≤X＜87%，按线性得分；
X＜70%，得分为0分。</t>
  </si>
  <si>
    <t xml:space="preserve">实际打造合格店积分/规划打造的合格店积分*100% </t>
  </si>
  <si>
    <t>OT系统TP档期规划/执行达标率</t>
  </si>
  <si>
    <t>≧10%</t>
  </si>
  <si>
    <t>落实节点营销/品牌大Campaign/系统主题推广及重点系统TP档期规划及执行工作，有效TP档期以（促销价格+有效特陈）为考核依据。
X=100%，得分为满分；
87%≤X＜100%，按线性得分；
X＜87%，得分为0分。</t>
  </si>
  <si>
    <t>实际执行合格档期数/规划档期数量*100%</t>
  </si>
  <si>
    <t>品牌力</t>
  </si>
  <si>
    <t>月度M1+2CP推广计划管理达标率</t>
  </si>
  <si>
    <t>依据品市处《M1+3 CP推广重点规划的通知》标准执行开展的合格推广场次作为考核依据；
X≥87%，得分为满分；
70%≤X＜87%，按线性得分；
X＜70%，得分为0分。</t>
  </si>
  <si>
    <t>实际执行场次数/目标场次数*100%</t>
  </si>
  <si>
    <t>品市处</t>
  </si>
  <si>
    <t>客户管理</t>
  </si>
  <si>
    <t>客户开发目标达成率</t>
  </si>
  <si>
    <t>主要考核OT直营的新客户开发，以当期实际开户交易数据核计，根据各行销单位月度M1+2行动计划共识目标，经RVP审核确定，纳入月度KPI考核。 当期未办理立审决手续者，该项得分为0分，本指标纳入月度目标管理，按季度核算。
X≥85%，得分为满分；
60%≤X＜85%，按线性得分；
X＜60%，得分为0分。</t>
  </si>
  <si>
    <t>实际新开客户数/计划开发目标*100%</t>
  </si>
  <si>
    <t>活跃客户数目标达成率</t>
  </si>
  <si>
    <t xml:space="preserve">考核签约有效客户当月的交易率；应闭未闭客户纳入有效客户考核。
X≥90%，得分为满分，
80%≤X＜90%，按线性得分；
X＜80%，得分为0分；
</t>
  </si>
  <si>
    <t>实际交易客户数/有效客户数*100%</t>
  </si>
  <si>
    <t>财务指标</t>
  </si>
  <si>
    <t>月度逾期账款回款达成率</t>
  </si>
  <si>
    <t>考核当月逾期账款次月内回款达成（以财会处月度逾期账款通报为准），具体以制度为准。
X=100%，得分为满分；
80%≤X＜100%，按线性得分；
X＜80%，得分为0分。</t>
  </si>
  <si>
    <t>实际回款的逾期账款/逾期账款的总数*100%</t>
  </si>
  <si>
    <t>行销营会处</t>
  </si>
  <si>
    <t>组织力</t>
  </si>
  <si>
    <t>月度协访计划完成率（1周3天）</t>
  </si>
  <si>
    <t>12次</t>
  </si>
  <si>
    <t>根据制度《365系统出勤作业管理办法》要求对绩差人员进行协访带教、辅导；、绩差市场、薄弱区域进行市场检核；针对问题客户及区域内重点客户（OT系统/经销商）进行拜访或生意回顾。</t>
  </si>
  <si>
    <t>实际协访天数/目标协访天数*100%</t>
  </si>
  <si>
    <t>营运人资处</t>
  </si>
  <si>
    <t>城区营业所</t>
  </si>
  <si>
    <t xml:space="preserve">月度M1+1重点铺市品项目标达成率              </t>
  </si>
  <si>
    <r>
      <rPr>
        <sz val="10"/>
        <rFont val="SimSun"/>
        <charset val="134"/>
      </rPr>
      <t>≧</t>
    </r>
    <r>
      <rPr>
        <sz val="10"/>
        <rFont val="微软雅黑"/>
        <charset val="134"/>
      </rPr>
      <t>20%</t>
    </r>
  </si>
  <si>
    <t>“重点铺市品项”主要为品牌策略定位的“潜力品、结构品、核心品、限定品”类产品，为加强渠道产品渗透而进行重点铺市的品项。主要考核行销单位营业所“经销+直营”的品项目标量，不含跨区双挂销量，按规格别进行核算考核，具体详见行销单位“月度M1+1重点铺市品项考核目标通知”，
X≥87%，得分为满分；
70%≤X＜87%，按线性得分；
X＜70%，得分为0分。</t>
  </si>
  <si>
    <t>当月实际完成的重点铺市品项数量/重点铺市品项目标数量*100%</t>
  </si>
  <si>
    <t>月度OT/TT合格店打造积分目标达成率（必选）</t>
  </si>
  <si>
    <t>月度TT门店开发目标达成率</t>
  </si>
  <si>
    <t>考核当月新增的空白网点/售点数量，具体以录入365勤策系统并产生订单的经销TT门店为准，初期考核开发目标，后期考核门店合作率
X≥87%，得分为满分；
70%≤X＜87%，按线性得分；
X＜70%，得分为0分。</t>
  </si>
  <si>
    <t>实际新增空白网点&amp;售点/计划开发的目标数*100%</t>
  </si>
  <si>
    <t>二批商开发目标达成率</t>
  </si>
  <si>
    <t>负责区域内专业批市档口、单点批发的新二批分销商开发，以实际进货额计。
X≥87%，得分为满分；
70%≤X＜87%，按线性得分；
X＜70%，得分为0分。</t>
  </si>
  <si>
    <t>实际有效开发二批商数/计划开发二批商数*100%</t>
  </si>
  <si>
    <t>外埠营业所</t>
  </si>
  <si>
    <t>OT直营/TT经销商新客户开发目标达成率</t>
  </si>
  <si>
    <t>主要考核OT直营、TT经销商的新客户开发，以当期实际开户交易数据核计，根据各行销单位月度M1+2行动计划共识目标，经RVP审核确定，纳入月度KPI考核。 当期未办理立审决手续者，该项得分为0分，本指标纳入月度目标管理，按季度核算。
X≥85%， 得分为满分；
60%≤X＜85%，按线性得分；
X＜60%，得分为0分。</t>
  </si>
  <si>
    <t>订单管理组</t>
  </si>
  <si>
    <t>月度协访计划完成率（1周2天）</t>
  </si>
  <si>
    <t>8次</t>
  </si>
  <si>
    <t xml:space="preserve">城市营业所    </t>
  </si>
  <si>
    <t>主要考核OT直营、TT经销商的新客户开发，以当期实际开户交易数据核计，根据各行销单位月度M1+2行动计划共识目标，经RVP审核确定，纳入月度KPI考核。 当期未办理立审决手续者，该项得分为0分，本指标纳入月度目标管理，按季度核算。
X≥85，得分为满分，
60%≤X＜85%，按线性得分；
X＜60%，得分为0分。</t>
  </si>
  <si>
    <t>休食事业中心总监2026财年KPI指标库</t>
  </si>
  <si>
    <t>休食事业中心总监</t>
  </si>
  <si>
    <t>销售业绩</t>
  </si>
  <si>
    <t>销售业绩目标达成率</t>
  </si>
  <si>
    <t>依据公司下发的销售业绩必保目标作为考核依据（以公司出货金额核计）考核事业中心销售业绩必保目标达成偏差率
按线性得分；</t>
  </si>
  <si>
    <t>实际销售金额/销售目标金额</t>
  </si>
  <si>
    <t>市场管理中心</t>
  </si>
  <si>
    <t>主推大单品销售目标达成率</t>
  </si>
  <si>
    <t>考核活动期间公司主推大单品销售业绩目标达成率，以金额核计，
X≥100%，得分为满分；
70%≤X＜100%，按线性得分；
X＜70%，得分为0分。</t>
  </si>
  <si>
    <t>销售品项目标达成率</t>
  </si>
  <si>
    <t>考核销售期间，品项实际销量与品项目标销量的差异，以件核计
70%≤X＜100%，按线性得分
X＜70%，得分为0分。</t>
  </si>
  <si>
    <t>实际销售件数/目标销售件数</t>
  </si>
  <si>
    <t>市场指标</t>
  </si>
  <si>
    <t>新客户开发目标达成率</t>
  </si>
  <si>
    <t>主要考核经销商/系统的新客户开发，以当期实际开户交易数据核计，
X≥90%，得分为满分；
70%≤X＜90%，按线性得分；
X＜70%，得分为0分。</t>
  </si>
  <si>
    <t>直营系统开发目标达成率</t>
  </si>
  <si>
    <r>
      <t>负责辖区内的重点LKA系统/门店上架，明确计划上架系统数、门店数以及上架SKU；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</si>
  <si>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实际上架LKA系统数/目标上架的LKA系统数*100%</t>
  </si>
  <si>
    <t>KA系统新品上架计划达成率</t>
  </si>
  <si>
    <r>
      <t>明确新品上架系统数、门店数以及上架SKU，以实际完成新品上架的品项、门店数、系统数作为考核依据</t>
    </r>
    <r>
      <rPr>
        <sz val="10"/>
        <rFont val="微软雅黑"/>
        <charset val="134"/>
      </rPr>
      <t xml:space="preserve">
X≥90%，得分为满分；
70%≤X＜90%，按线性得分；
X＜70%，得分为0分。</t>
    </r>
  </si>
  <si>
    <t>实际上架新品数/目标上架的新品数*100%</t>
  </si>
  <si>
    <t>样板省打造目标达成率</t>
  </si>
  <si>
    <t>根据公司下发的样板省打造目标，结合《样板省/样板城市/样板渠道建设工作指引》标准进行考核，考核累计打造的样板省
X≥90%，得分为满分；
70%≤X＜90%，按线性得分；
X＜70%，得分为0分。</t>
  </si>
  <si>
    <t xml:space="preserve">实际打造样板数量/规划打造的样板省数量*100% </t>
  </si>
  <si>
    <t>费用管理</t>
  </si>
  <si>
    <t>TCP费用预算达标率</t>
  </si>
  <si>
    <t>依据市场管理中心分解的TCP预算与实际发生的TCP费用使用差异，包含TP2费用、TP3费用、CP1费用、CP2费用等。
X≤0%，得分为满分
X＞0%，每多1%，扣罚1分，扣完为止。</t>
  </si>
  <si>
    <t>（实际费率-预算费率）/预算费率*100%</t>
  </si>
  <si>
    <t>财务中心</t>
  </si>
  <si>
    <t>核心岗位到位率</t>
  </si>
  <si>
    <t>考核中心内渠道总监到位情况，按月度考核，要求季度内100%到位。
X=100%，得分为满分；
70%≤X＜100%，按线性得分；
X＜70%，得分为0分。</t>
  </si>
  <si>
    <t>核心岗位在编人数/编制内核心岗位编制数*100%</t>
  </si>
  <si>
    <t>人资</t>
  </si>
  <si>
    <t>岗位绩效指标审核达标率</t>
  </si>
  <si>
    <t>考核中心内各岗位绩效指标制定审核情况，按月度按人考核。
X=100%，得分为满分；
70%≤X＜100%，按线性得分；
X＜70%，得分为0分。</t>
  </si>
  <si>
    <t>下属人员绩效指标已审核数/下属人员绩效指标目标审核数*100%</t>
  </si>
  <si>
    <t>销售公司人效指标达标率</t>
  </si>
  <si>
    <t>考核销售公司团队成员人效指标，按月度人均销售指标考核。
X≥100%，得分为满分；
70%≤X＜100%，按线性得分；
X＜70%，得分为0分。</t>
  </si>
  <si>
    <t>实际人效/计划人效*100%</t>
  </si>
  <si>
    <t>GS</t>
  </si>
  <si>
    <t>上级主管交办GS事项（需明确指标）</t>
  </si>
  <si>
    <t>上级主管交办的重点工作事项</t>
  </si>
  <si>
    <t>按“多、快、好、省”考核，由上级主管评分</t>
  </si>
  <si>
    <t>上级主管</t>
  </si>
  <si>
    <t>餐饮事业中心总监2025财年KPI指标库</t>
  </si>
  <si>
    <t>餐饮事业中心总监</t>
  </si>
  <si>
    <t>考核事业中心销售业绩目标达成偏差率，以金额核计，
X≥100%，得分为满分；
70%≤X＜100%，按线性得分；
X＜70%，得分为0分。</t>
  </si>
  <si>
    <t>公司主推大单品销售目标达成率</t>
  </si>
  <si>
    <t>主要考核经销商/系统的新客户开发，以当期实际开户交易数据核计，
X≥90%， 得分为满分，
70%≤X＜90%，按线性得分；
X＜70%，得分为0分。</t>
  </si>
  <si>
    <t>月度店中店打造目标达成率</t>
  </si>
  <si>
    <t>根据公司下发的店中店打造目标，结合《样板省/样板城市/样板渠道建设工作指引》标准进行考核，考核累计打造的店中店
X≥90%，得分为满分；
70%≤X＜90%，按线性得分；
X＜70%，得分为0分。</t>
  </si>
  <si>
    <t xml:space="preserve">实际打造店中店数量/规划打造的店中店数量*100% </t>
  </si>
  <si>
    <t>全国连锁餐饮直营系统进场目标达成率</t>
  </si>
  <si>
    <r>
      <rPr>
        <sz val="10"/>
        <color rgb="FF000000"/>
        <rFont val="微软雅黑"/>
        <charset val="134"/>
      </rPr>
      <t>负责辖区内的全国连锁餐饮系统/门店上架，明确计划上架系统数、门店数以及上架SKU；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</si>
  <si>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实际上架全国连锁餐饮系统数/目标上架的全国连锁餐饮系统数*100%</t>
  </si>
  <si>
    <t>LKA系统进场目标达成率</t>
  </si>
  <si>
    <r>
      <rPr>
        <sz val="10"/>
        <color rgb="FF000000"/>
        <rFont val="微软雅黑"/>
        <charset val="134"/>
      </rPr>
      <t>负责辖区内的重点LKA系统/门店上架，明确计划上架系统数、门店数以及上架SKU；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</si>
  <si>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考核中心内大区总监/渠道总监到位情况，按月度考核，要求季度内100%到位。
X=100%，得分为满分；
70%≤X＜100%，按线性得分；
X＜70%，得分为0分。</t>
  </si>
  <si>
    <t>大客事业中心总监2025财年KPI指标库</t>
  </si>
  <si>
    <t>大客事业中心总监</t>
  </si>
  <si>
    <t xml:space="preserve">考核销售期间，品项实际销量与品项目标销量的差异，以件核计
70%≤X＜100%，按线性得分
X＜70%，得分为0分。
</t>
  </si>
  <si>
    <t>行动计划</t>
  </si>
  <si>
    <t>系统月度1+3行动计划通知达标率</t>
  </si>
  <si>
    <t>按照公司制定的行动计划标准，每月3号前发布通知
规定时间内发布，得满分
未按规定时间内发布，得分为0分。</t>
  </si>
  <si>
    <t>每月3号前发布，得满分
未在规定时间内发布，得0分</t>
  </si>
  <si>
    <t>NKA系统直营进场目标达成率</t>
  </si>
  <si>
    <r>
      <t>负责辖区内的重点KA系统/门店上架，明确计划上架系统数、门店数以及上架SKU；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</si>
  <si>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实际上架KA（LKA）系统数/目标上架的KA（LKA）系统数*100%</t>
  </si>
  <si>
    <t>零食系统直营进场目标达成率</t>
  </si>
  <si>
    <r>
      <t>负责辖区内的重点零食系统/门店上架，明确计划上架系统数、门店数以及上架SKU；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</si>
  <si>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实际上架零食系统数/目标上架的零食系统数*100%</t>
  </si>
  <si>
    <t>创新渠道直营进场目标达成率</t>
  </si>
  <si>
    <r>
      <rPr>
        <sz val="10"/>
        <color rgb="FF000000"/>
        <rFont val="微软雅黑"/>
        <charset val="134"/>
      </rPr>
      <t>负责辖区内的创新渠道系统/门店上架，明确计划上架系统数、门店数以及上架SKU；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</si>
  <si>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实际上架创新渠道系统数/目标上架的创新渠道系统数*100%</t>
  </si>
  <si>
    <t>全国连锁餐饮直营进场目标达成率</t>
  </si>
  <si>
    <r>
      <t>负责辖区内的餐饮渠道系统/门店上架，明确计划上架系统数、门店数以及上架SKU；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</si>
  <si>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实际上架餐饮渠道系统数/目标上架的餐饮渠道系统数*100%</t>
  </si>
  <si>
    <t>会员店直营进场目标达成率</t>
  </si>
  <si>
    <r>
      <t>负责辖区内的会员店渠道系统/门店上架，明确计划上架系统数、门店数以及上架SKU；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</si>
  <si>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实际上架会员店渠道系统数/目标上架的会员店渠道系统数*100%</t>
  </si>
  <si>
    <t>新客户直营进场目标达成率</t>
  </si>
  <si>
    <r>
      <t>负责辖区内的新客户系统/门店上架，明确计划上架系统数、门店数以及上架SKU；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</si>
  <si>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实际上架新客户渠道系统数/目标上架的会员店渠道系统数*100%</t>
  </si>
  <si>
    <t>直营系统POS目标达成率</t>
  </si>
  <si>
    <t>考核所负责直营系统POS销售目标的达成，具体以各直营系统销售POS实际数据的考核达成为依据考核其销售目标达成率。
X≥90%，得分为满分
80%≤X＜90%，按线性得分；
X＜80%，得分为0分；</t>
  </si>
  <si>
    <t>各系统POS销售目标达成/各系统POS目标销额*100%</t>
  </si>
  <si>
    <t>季度标杆店/合格店打造目标达成率</t>
  </si>
  <si>
    <t>根据公司下发的标杆店/合格店打造目标，结合《样板省/样板城市/样板渠道建设工作指引》标准进行考核，考核累计打造的标杆店/合格店
X≥90%，得分为满分；
70%≤X＜90%，按线性得分；
X＜70%，得分为0分。</t>
  </si>
  <si>
    <t xml:space="preserve">实际打造标杆店及合格店数量/规划打造的标杆店及合格店数量*100% </t>
  </si>
  <si>
    <t>月度TP费用预算达标率</t>
  </si>
  <si>
    <t>依据市场管理中心分解的TP预算与实际发生的TP费用使用差异，包含TP2费用、TP3费用等。
X≤0%，得分为满分
X＞0%，每多1%，扣罚1分，扣完为止。</t>
  </si>
  <si>
    <t>月度CP费用预算达标率</t>
  </si>
  <si>
    <t>依据市场管理中心分解的CP预算与实际发生的CP费用使用差异，包含CP1费用、CP2费用等。
X≤0%，得分为满分
X＞0%，每多1%，扣罚1分，扣完为止。</t>
  </si>
  <si>
    <t>月度CP推广计划场次达成率</t>
  </si>
  <si>
    <t>考核活动期间CP计划场次与实际执行场次差异，以场次核计，
70%≤X＜100%，按线性得分；
X＜70%，得分为0分。</t>
  </si>
  <si>
    <t>CP实际执行场次/CP计划场次*100%</t>
  </si>
  <si>
    <t>月度CP推广销售目标达成率</t>
  </si>
  <si>
    <t>考核活动期间CP推广计划销额与实际推广销额差异，以金额核计，
X≥100%，得分为满分；
70%≤X＜100%，按线性得分；
X＜70%，得分为0分。</t>
  </si>
  <si>
    <t>CP实际推广销额/CP计划销额*100%</t>
  </si>
  <si>
    <t>人效指标达标率</t>
  </si>
  <si>
    <t>休食大区总监2025财年KPI指标库</t>
  </si>
  <si>
    <t>休食大区总监</t>
  </si>
  <si>
    <t>嘉荣：
步步高：
......</t>
  </si>
  <si>
    <t>培训计划达成率</t>
  </si>
  <si>
    <t>考核对销售团队成员培训达标情况，
X≥100%，得分为满分；
70%≤X＜100%，按线性得分；
X＜70%，得分为0分。</t>
  </si>
  <si>
    <t>实际培训人数/计划培训人数*100%</t>
  </si>
  <si>
    <t>餐饮大区总监2025财年KPI指标库</t>
  </si>
  <si>
    <t>餐饮大区总监</t>
  </si>
  <si>
    <r>
      <rPr>
        <sz val="10"/>
        <rFont val="SimSun"/>
        <charset val="134"/>
      </rPr>
      <t>≧4</t>
    </r>
    <r>
      <rPr>
        <sz val="10"/>
        <rFont val="微软雅黑"/>
        <charset val="134"/>
      </rPr>
      <t>0%</t>
    </r>
  </si>
  <si>
    <t>考核大区销售业绩目标达成率，以金额核计，
X≥100%，得分为满分；
70%≤X＜100%，按线性得分；
X＜70%，得分为0分。</t>
  </si>
  <si>
    <t>主要考核休食/餐饮经销商的新客户开发，以当期实际开户交易数据核计，
X≥90%， 得分为满分，
70%≤X＜90%，按线性得分；
X＜70%，得分为0分。</t>
  </si>
  <si>
    <r>
      <rPr>
        <sz val="9"/>
        <color rgb="FF000000"/>
        <rFont val="微软雅黑"/>
        <charset val="134"/>
      </rPr>
      <t>负责辖区内的重点LKA系统/门店上架，明确计划上架系统数、门店数以及上架SKU；</t>
    </r>
    <r>
      <rPr>
        <sz val="9"/>
        <rFont val="微软雅黑"/>
        <charset val="134"/>
      </rPr>
      <t>以系统上架的货号价格签为准。
X≥90%，得分为满分；
70%≤X＜90%，按线性得分；
X＜70%，得分为0分。</t>
    </r>
  </si>
  <si>
    <t>终端网点开发达成率</t>
  </si>
  <si>
    <r>
      <rPr>
        <sz val="9"/>
        <color rgb="FF000000"/>
        <rFont val="微软雅黑"/>
        <charset val="134"/>
      </rPr>
      <t>负责辖区内的终端网点开发，制定月度开发目标，考核月度实际开发数</t>
    </r>
    <r>
      <rPr>
        <sz val="9"/>
        <rFont val="微软雅黑"/>
        <charset val="134"/>
      </rPr>
      <t>。
X≥90%，得分为满分；
70%≤X＜90%，按线性得分；
X＜70%，得分为0分。</t>
    </r>
  </si>
  <si>
    <t>实际开发终端网点数/目标终端网点开发数*100%</t>
  </si>
  <si>
    <t>月度CP推广计划管理达标率</t>
  </si>
  <si>
    <t>依据全国市场管理中心下发的CP/迷你秀标准执行开展的推广场次作为考核依据；
X≥90%，得分为满分；
70%≤X＜90%，按线性得分；
X＜70%，得分为0分。</t>
  </si>
  <si>
    <t>核心岗位到位率（可选）</t>
  </si>
  <si>
    <t>考核大区内省区经理到位情况，按月度考核，要求季度内100%到位。
X=100%，得分为满分；
70%≤X＜100%，按线性得分；
X＜70%，得分为0分。</t>
  </si>
  <si>
    <t>大客KA渠道部总监2026财年KPI指标库</t>
  </si>
  <si>
    <t>KA渠道部总监</t>
  </si>
  <si>
    <t>NKA系统新品进场目标达成率</t>
  </si>
  <si>
    <r>
      <t>负责辖区内的重点KA系统/门店新增品项上架，明确计划上架系统数、门店数以及上架SKU；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</si>
  <si>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实际上架KA系统数/目标上架的KA系统数*100%</t>
  </si>
  <si>
    <t>直营系统促销档期执行目标达成率</t>
  </si>
  <si>
    <r>
      <t>负责辖区内的重点KA系统档期规划和执行；系统实际执行档期与计划执行档期差异，</t>
    </r>
    <r>
      <rPr>
        <sz val="10"/>
        <rFont val="微软雅黑"/>
        <charset val="134"/>
      </rPr>
      <t>以档期数核计。
X≥90%，得分为满分；
70%≤X＜90%，按线性得分；
X＜70%，得分为0分。</t>
    </r>
  </si>
  <si>
    <t>实际执行档期数/目标执行档期数*100%</t>
  </si>
  <si>
    <t>直营系统季度POS目标达成率</t>
  </si>
  <si>
    <t>考核KA渠道内各岗位绩效指标制定审核情况，按月度按人考核。
X=100%，得分为满分；
70%≤X＜100%，按线性得分；
X＜70%，得分为0分。</t>
  </si>
  <si>
    <t>大客零食渠道部总监2026财年KPI指标库</t>
  </si>
  <si>
    <t>大客零食渠道总监</t>
  </si>
  <si>
    <t>零食系统开发目标达成率</t>
  </si>
  <si>
    <r>
      <rPr>
        <sz val="10"/>
        <color rgb="FF000000"/>
        <rFont val="微软雅黑"/>
        <charset val="134"/>
      </rPr>
      <t>负责辖区内的重点零食系统/门店上架，明确计划上架系统数、门店数以及上架SKU；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</si>
  <si>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零食系统增品目标达成率</t>
  </si>
  <si>
    <r>
      <t>负责辖区内的零食系统/门店新增品项上架，明确计划上架系统数、门店数以及上架SKU；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</si>
  <si>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零食系统季度POS目标达成率</t>
  </si>
  <si>
    <t>考核所负责零食系统POS销售目标的达成，具体以各零食系统销售POS实际数据的考核达成为依据考核其销售目标达成率。
X≥90%，得分为满分
80%≤X＜90%，按线性得分；
X＜80%，得分为0分；</t>
  </si>
  <si>
    <t>季度门店检核目标达成率</t>
  </si>
  <si>
    <t>根据所负责的零食系统，每月制订检核系统区域门店的数量，要求要有门店陈列改善，改善后拍照，盘点门店产品，陈列等问题，形成检核报告。
X≥90%，得分为满分
80%≤X＜90%，按线性得分；
X＜80%，得分为0分</t>
  </si>
  <si>
    <t>实际检核门店数/目标检核门店数*100%</t>
  </si>
  <si>
    <t>季度分仓采购拜访目标达成率</t>
  </si>
  <si>
    <t>按照季度/月度别对系统采购客户进行生意复盘，规划下期工作重点。</t>
  </si>
  <si>
    <t>实际达成/目标值*100%</t>
  </si>
  <si>
    <t>考核当月逾期账款的实际回款达成（以财会中心月度逾期账款通报为准）
X=100%，得分为满分；
80%≤X＜100%，按线性得分；
X＜80%，得分为0分。</t>
  </si>
  <si>
    <t>回款/逾期账款*100%</t>
  </si>
  <si>
    <t>大客会员渠道部总监2026财年KPI指标库</t>
  </si>
  <si>
    <t>大客会员渠道部总监</t>
  </si>
  <si>
    <t>会员店系统开发目标达成率</t>
  </si>
  <si>
    <r>
      <t>负责辖区内的会员店系统/门店上架，明确计划上架系统数、门店数以及上架SKU；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</si>
  <si>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实际上架会员系统数/目标上架的会员店系统数*100%</t>
  </si>
  <si>
    <t>会员店系统POS目标达成率</t>
  </si>
  <si>
    <t>考核所负责会员系统POS销售目标的达成，具体以各会员系统销售POS实际数据的考核达成为依据考核其销售目标达成率。
X≥90%，得分为满分
80%≤X＜90%，按线性得分；
X＜80%，得分为0分；</t>
  </si>
  <si>
    <t>会员店系统增品目标达成率</t>
  </si>
  <si>
    <r>
      <t>负责辖区内的会员店系统/门店新增品项上架，明确计划上架系统数、门店数以及上架SKU；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</si>
  <si>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实际上架会员店系统数/目标上架的会员店系统数*100%</t>
  </si>
  <si>
    <t>会员店系统总部/地区采购拜访目标达成率</t>
  </si>
  <si>
    <t>按照季度/月度别对系统总部/地方采购客户进行生意复盘，规划下期工作重点。</t>
  </si>
  <si>
    <t>大客创新渠道部总监2026财年KPI指标库</t>
  </si>
  <si>
    <t>创新渠道部总监</t>
  </si>
  <si>
    <t>创新系统新品进场目标达成率</t>
  </si>
  <si>
    <r>
      <t>负责辖区内的创新系统/门店新增品项上架，明确计划上架系统数、门店数以及上架SKU；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</si>
  <si>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实际上架创新系统数/目标上架的创新系统数*100%</t>
  </si>
  <si>
    <t>创新系统开发目标达成率</t>
  </si>
  <si>
    <r>
      <t>负责辖区内的创新系统/门店上架，明确计划上架系统数、门店数以及上架SKU；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</si>
  <si>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r>
      <t>负责辖区内的直营系统档期规划和执行；系统实际执行档期与计划执行档期差异，</t>
    </r>
    <r>
      <rPr>
        <sz val="10"/>
        <rFont val="微软雅黑"/>
        <charset val="134"/>
      </rPr>
      <t>以档期数核计。
X≥90%，得分为满分；
70%≤X＜90%，按线性得分；
X＜70%，得分为0分。</t>
    </r>
  </si>
  <si>
    <t>考核所负责创新系统POS销售目标的达成，具体以各创新系统销售POS实际数据的考核达成为依据考核其销售目标达成率。
X≥90%，得分为满分
80%≤X＜90%，按线性得分；
X＜80%，得分为0分；</t>
  </si>
  <si>
    <t>大客餐饮渠道部总监2026财年KPI指标库</t>
  </si>
  <si>
    <t>大客餐饮渠道部总监</t>
  </si>
  <si>
    <t>餐饮系统开发目标达成率</t>
  </si>
  <si>
    <r>
      <t>负责辖区内的餐饮系统/门店上架，明确计划上架系统数、门店数以及上架SKU；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</si>
  <si>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实际上架餐饮系统数/目标上架的餐饮系统数*100%</t>
  </si>
  <si>
    <t>餐饮系统增品目标达成率</t>
  </si>
  <si>
    <r>
      <t>负责辖区内的餐饮系统/门店新增品项上架，明确计划上架系统数、门店数以及上架SKU；</t>
    </r>
    <r>
      <rPr>
        <sz val="10"/>
        <rFont val="微软雅黑"/>
        <charset val="134"/>
      </rPr>
      <t>以系统上架的货号价格签为准。
X≥90%，得分为满分；
70%≤X＜90%，按线性得分；
X＜70%，得分为0分。</t>
    </r>
  </si>
  <si>
    <t>餐饮系统采购拜访目标达成率</t>
  </si>
  <si>
    <t>休食省区经理2025财年KPI指标库</t>
  </si>
  <si>
    <t>休食省区经理</t>
  </si>
  <si>
    <t>核心单品销售目标达成率</t>
  </si>
  <si>
    <t>月度样板店/合格店打造目标达成率</t>
  </si>
  <si>
    <t>月度陈列打造目标达成率</t>
  </si>
  <si>
    <t>根据公司下发的其他陈列打造目标，考核累计打造的陈列
X≥90%，得分为满分；
70%≤X＜90%，按线性得分；
X＜70%，得分为0分。</t>
  </si>
  <si>
    <t xml:space="preserve">实际打造的陈列数量/规划打造的陈列数量*100% </t>
  </si>
  <si>
    <t>CNY年堆打造目标达成率</t>
  </si>
  <si>
    <t>根据公司下发的年堆打造目标，考核累计打造的年堆数量
X≥90%，得分为满分；
70%≤X＜90%，按线性得分；
X＜70%，得分为0分。</t>
  </si>
  <si>
    <t>TP费用预算达标率</t>
  </si>
  <si>
    <t>CP费用预算达标率</t>
  </si>
  <si>
    <t>CP活动检核目标达成率</t>
  </si>
  <si>
    <t>根据所负责的CP门店，每月制订CP检核门店的数量，要求要有门店CP执行及陈列改善，改善后拍照，盘点门店产品，陈列等问题，形成检核报告。
X≥90%，得分为满分
80%≤X＜90%，按线性得分；
X＜80%，得分为0分</t>
  </si>
  <si>
    <t>餐饮省区经理2025财年KPI指标库</t>
  </si>
  <si>
    <t>餐饮省区经理</t>
  </si>
  <si>
    <t>≧40%</t>
  </si>
  <si>
    <t>考核省区销售业绩目标达成率，以金额核计，
X≥100%，得分为满分；
70%≤X＜100%，按线性得分；
X＜70%，得分为0分。</t>
  </si>
  <si>
    <t>LKA系统直营进场目标达成率</t>
  </si>
  <si>
    <r>
      <rPr>
        <sz val="10"/>
        <color rgb="FF000000"/>
        <rFont val="微软雅黑"/>
        <charset val="134"/>
      </rPr>
      <t>负责辖区内的终端网点开发，制定月度开发目标，考核月度实际开发数</t>
    </r>
    <r>
      <rPr>
        <sz val="10"/>
        <rFont val="微软雅黑"/>
        <charset val="134"/>
      </rPr>
      <t>。
X≥90%，得分为满分；
70%≤X＜90%，按线性得分；
X＜70%，得分为0分。</t>
    </r>
  </si>
  <si>
    <t>客户活跃度</t>
  </si>
  <si>
    <t>—</t>
  </si>
  <si>
    <t>“活跃客户”主要考核省区月度签约客户的交易率，包含经销+直营客户。</t>
  </si>
  <si>
    <t>签约客户当月实际交易数量/实际签约的客户总数*100%</t>
  </si>
  <si>
    <t>大客KA渠道经理2026财年KPI指标库</t>
  </si>
  <si>
    <t>KA渠道经理</t>
  </si>
  <si>
    <t>直营系统月度POS目标达成率</t>
  </si>
  <si>
    <t>月度标杆店/合格店打造目标达成率</t>
  </si>
  <si>
    <t xml:space="preserve">  百饮事业  营业  功能  </t>
  </si>
  <si>
    <t>特通开发业代</t>
  </si>
  <si>
    <t>050</t>
  </si>
  <si>
    <t xml:space="preserve">
一、达成开发/销售目标
    1、盘点辖区的综合批发及特通点数，设定开发目标
    2、制定客户拜访计划并落实执行达成目标
    3、落实店内促销合作，达成销售目标，增进销售
    4、重点开发经营网红店以及党/政/军/金融（银行、证券、保险业）、央企/国企/世界500强企业等重点客户
   5、积极开发新客户,协助业绩提升
二、管理
    1、遵守公司各项财务管理及行销管理制度
    2、每周对所长做周工作报告
    3、与相关客户经理妥善交接并协助后续经营；
三、其他
    1、上级交办其他事宜及完成主管交办事项；
    2、每周作周工作报告</t>
  </si>
  <si>
    <t>男性优先</t>
  </si>
  <si>
    <t>18岁(含）以上</t>
  </si>
  <si>
    <t>高中/中专（含）以上</t>
  </si>
  <si>
    <t>基本礼仪与行为规范</t>
  </si>
  <si>
    <t>公司文化与经营理念</t>
  </si>
  <si>
    <t>销售系统的运用</t>
  </si>
  <si>
    <t>组织变革管理分析与创新</t>
  </si>
  <si>
    <t>路线规划与时间管理</t>
  </si>
  <si>
    <t>陈列基本原则</t>
  </si>
  <si>
    <t>客户拜访步骤</t>
  </si>
  <si>
    <t>客诉处理</t>
  </si>
  <si>
    <t>外聘:有快速消费品销售经验2年以上
内部:士多业代历练3个月以上</t>
  </si>
  <si>
    <t>销售基本技巧</t>
  </si>
  <si>
    <t>冰箱投放与管理</t>
  </si>
  <si>
    <t>4-6职等</t>
  </si>
  <si>
    <t>专业技能
  1、具备客户服务意识,及有谈判能力</t>
  </si>
  <si>
    <t>所长</t>
  </si>
  <si>
    <t>1年</t>
  </si>
  <si>
    <t>主要来源于士多业或外埠特通渠道发达公司</t>
  </si>
  <si>
    <t>餐饮管理业代</t>
  </si>
  <si>
    <t>056</t>
  </si>
  <si>
    <t xml:space="preserve">
一、DPI/KPI达成
    1、日常销售目标健康达成
    2、做好路线规划并落实拜访,提高成交率/铺货率/冰冻率
    3、依据通路必售/新品上市分布及生动化标准推动有效益的行销活动 
    4、积极开发新客户,协助业绩提升
二、客户管理
    1、定期拜访重要的餐饮售点，建立良好客情
    2、运用百事通拜访/掌握客户的进销存
三、管理
    1、辅导、管理、检核辅销业代的日常工作
    2、协助所长完成对餐饮批发的管理
    3、完成主管交办事项</t>
  </si>
  <si>
    <t>20岁（含）以上</t>
  </si>
  <si>
    <t>外聘:有快速消费品销售经验2年以上
内部:士多业代历练6个月以上</t>
  </si>
  <si>
    <r>
      <rPr>
        <sz val="12"/>
        <color rgb="FFFF0000"/>
        <rFont val="微软雅黑"/>
        <charset val="134"/>
      </rPr>
      <t>3</t>
    </r>
    <r>
      <rPr>
        <sz val="12"/>
        <color indexed="8"/>
        <rFont val="微软雅黑"/>
        <charset val="134"/>
      </rPr>
      <t>-5职等</t>
    </r>
  </si>
  <si>
    <t>专业技能
  1、有餐饮/特通等客户的管理经验</t>
  </si>
  <si>
    <t>2年</t>
  </si>
  <si>
    <t>主要来自餐饮业代及外部餐饮渠道发达公司</t>
  </si>
  <si>
    <t>批发管理业代</t>
  </si>
  <si>
    <t xml:space="preserve">
一、DPI/KPI达成
    1、日常销售目标健康达成
    2、做好A+点路线规划并落实拜访,提高成交率/铺货率/冰冻率
    3、依据通路必售/新品上市分布及生动化标准推动有效益行销活动 
    4、积极开发新客户,协助业绩提升
二、客户管理
    1、定期拜访重要的2±0.5阶，建立良好客情
    2、辅导镇分销生意，落实车销
    2、运用百事通拜访/掌握客户的进销存
三、管理
    1、辅导、管理、检核辅销业代的日常工作
    2、销售工具的有效精准使用，确保数据准确
    3、完成主管交办事项，每周作周工作报告</t>
  </si>
  <si>
    <t>新人:有B2B销售经验者佳</t>
  </si>
  <si>
    <t>E-批发经营实务</t>
  </si>
  <si>
    <t>3-4职等</t>
  </si>
  <si>
    <t>专业技能
  1、具备客户服务意识,有从事业务的潜力</t>
  </si>
  <si>
    <t>主要来源于士多业代、或外招（具有B2B经验）</t>
  </si>
  <si>
    <t>（实际费率-预算费率）/预算费率*100%</t>
    <phoneticPr fontId="26" type="noConversion"/>
  </si>
  <si>
    <t>CP实际执行场次/CP计划场次*100%</t>
    <phoneticPr fontId="26" type="noConversion"/>
  </si>
  <si>
    <t>按照公司制定的行动计划标准，每月3号前发布通知
规定时间内发布，得满分
未按规定时间内发布，得分为0分。</t>
    <phoneticPr fontId="26" type="noConversion"/>
  </si>
  <si>
    <t>依据公司下发的销售业绩必保目标作为考核依据（以公司出货金额核计）考核事业中心销售业绩必保目标达成偏差率
按线性得分；</t>
    <phoneticPr fontId="26" type="noConversion"/>
  </si>
  <si>
    <t>上级主管交办的重点工作事项</t>
    <phoneticPr fontId="26" type="noConversion"/>
  </si>
  <si>
    <t>销售业绩目标达成率</t>
    <phoneticPr fontId="26" type="noConversion"/>
  </si>
  <si>
    <t>销售品项目标达成率</t>
    <phoneticPr fontId="26" type="noConversion"/>
  </si>
  <si>
    <t xml:space="preserve">考核销售期间，品项实际销量与品项目标销量的差异，以件核计
70%≤X＜100%，按线性得分
X＜70%，得分为0分。
</t>
    <phoneticPr fontId="26" type="noConversion"/>
  </si>
  <si>
    <t>按照季度/月度别对系统采购客户进行生意复盘，规划下期工作重点。</t>
    <phoneticPr fontId="26" type="noConversion"/>
  </si>
  <si>
    <t>依据市场管理中心分解的CP预算与实际发生的CP费用使用差异，包含CP1费用、CP2费用等。
X≤0%，得分为满分
X＞0%，每多1%，扣罚1分，扣完为止。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</si>
</sst>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_ [$€-2]* #,##0_ ;_ [$€-2]* \-#,##0_ ;_ [$€-2]* &quot;-&quot;??_ "/>
    <numFmt numFmtId="180" formatCode="0_);[Red]\(0\)"/>
  </numFmts>
  <fonts count="29">
    <font>
      <sz val="12"/>
      <name val="宋体"/>
      <charset val="134"/>
    </font>
    <font>
      <sz val="12"/>
      <color indexed="8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u/>
      <sz val="12"/>
      <color indexed="8"/>
      <name val="微软雅黑"/>
      <charset val="134"/>
    </font>
    <font>
      <sz val="12"/>
      <color rgb="FFFF0000"/>
      <name val="微软雅黑"/>
      <charset val="134"/>
    </font>
    <font>
      <b/>
      <sz val="9"/>
      <color indexed="8"/>
      <name val="微软雅黑"/>
      <charset val="134"/>
    </font>
    <font>
      <sz val="10"/>
      <name val="微软雅黑"/>
      <charset val="134"/>
    </font>
    <font>
      <b/>
      <sz val="16"/>
      <color indexed="8"/>
      <name val="微软雅黑"/>
      <charset val="134"/>
    </font>
    <font>
      <b/>
      <sz val="10"/>
      <color indexed="8"/>
      <name val="微软雅黑"/>
      <charset val="134"/>
    </font>
    <font>
      <sz val="8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10"/>
      <name val="SimSun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indexed="8"/>
      <name val="微软雅黑"/>
      <charset val="134"/>
    </font>
    <font>
      <sz val="14"/>
      <color indexed="8"/>
      <name val="微软雅黑"/>
      <charset val="134"/>
    </font>
    <font>
      <sz val="16"/>
      <name val="微软雅黑"/>
      <charset val="134"/>
    </font>
    <font>
      <u/>
      <sz val="14"/>
      <color indexed="8"/>
      <name val="微软雅黑"/>
      <charset val="134"/>
    </font>
    <font>
      <sz val="11"/>
      <color theme="1"/>
      <name val="宋体"/>
      <charset val="134"/>
      <scheme val="minor"/>
    </font>
    <font>
      <sz val="12"/>
      <name val="Times New Roman"/>
      <family val="1"/>
    </font>
    <font>
      <sz val="12"/>
      <name val="黑体"/>
      <charset val="134"/>
    </font>
    <font>
      <sz val="11"/>
      <color indexed="8"/>
      <name val="宋体"/>
      <charset val="134"/>
    </font>
    <font>
      <sz val="11"/>
      <color indexed="8"/>
      <name val="DengXian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13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9" fontId="20" fillId="0" borderId="0" applyFont="0" applyFill="0" applyBorder="0" applyAlignment="0" applyProtection="0">
      <alignment vertical="center"/>
    </xf>
    <xf numFmtId="0" fontId="25" fillId="0" borderId="0"/>
    <xf numFmtId="0" fontId="21" fillId="0" borderId="0"/>
    <xf numFmtId="9" fontId="2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5" fillId="0" borderId="0"/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24" fillId="0" borderId="0"/>
    <xf numFmtId="0" fontId="25" fillId="0" borderId="0" applyProtection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 applyBorder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1" fillId="0" borderId="0"/>
    <xf numFmtId="0" fontId="21" fillId="0" borderId="0"/>
  </cellStyleXfs>
  <cellXfs count="480">
    <xf numFmtId="0" fontId="0" fillId="0" borderId="0" xfId="0" applyAlignment="1">
      <alignment vertical="center"/>
    </xf>
    <xf numFmtId="0" fontId="1" fillId="0" borderId="0" xfId="14" applyFont="1" applyAlignment="1">
      <alignment vertical="center"/>
    </xf>
    <xf numFmtId="0" fontId="1" fillId="2" borderId="0" xfId="14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14" applyFont="1" applyFill="1" applyAlignment="1">
      <alignment vertical="center"/>
    </xf>
    <xf numFmtId="0" fontId="1" fillId="3" borderId="0" xfId="0" applyFont="1" applyFill="1" applyAlignment="1">
      <alignment horizontal="left"/>
    </xf>
    <xf numFmtId="0" fontId="1" fillId="0" borderId="0" xfId="14" applyFont="1" applyAlignment="1">
      <alignment horizontal="centerContinuous" vertical="center"/>
    </xf>
    <xf numFmtId="0" fontId="1" fillId="0" borderId="0" xfId="14" applyFon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14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14" applyFont="1" applyFill="1" applyBorder="1" applyAlignment="1">
      <alignment horizontal="centerContinuous" vertical="center"/>
    </xf>
    <xf numFmtId="0" fontId="1" fillId="4" borderId="3" xfId="14" applyFont="1" applyFill="1" applyBorder="1" applyAlignment="1">
      <alignment horizontal="centerContinuous" vertical="center"/>
    </xf>
    <xf numFmtId="0" fontId="1" fillId="4" borderId="4" xfId="14" applyFont="1" applyFill="1" applyBorder="1" applyAlignment="1">
      <alignment horizontal="centerContinuous" vertical="center"/>
    </xf>
    <xf numFmtId="0" fontId="1" fillId="4" borderId="5" xfId="14" applyFont="1" applyFill="1" applyBorder="1" applyAlignment="1">
      <alignment horizontal="centerContinuous" vertical="center"/>
    </xf>
    <xf numFmtId="0" fontId="1" fillId="4" borderId="6" xfId="14" applyFont="1" applyFill="1" applyBorder="1" applyAlignment="1">
      <alignment horizontal="center" vertical="center"/>
    </xf>
    <xf numFmtId="0" fontId="1" fillId="0" borderId="9" xfId="14" applyFont="1" applyBorder="1" applyAlignment="1">
      <alignment horizontal="center" vertical="center"/>
    </xf>
    <xf numFmtId="0" fontId="1" fillId="0" borderId="10" xfId="14" applyFont="1" applyBorder="1" applyAlignment="1">
      <alignment horizontal="left" vertical="center"/>
    </xf>
    <xf numFmtId="0" fontId="1" fillId="2" borderId="11" xfId="14" applyFont="1" applyFill="1" applyBorder="1" applyAlignment="1">
      <alignment horizontal="left" vertical="center"/>
    </xf>
    <xf numFmtId="0" fontId="1" fillId="2" borderId="12" xfId="14" applyFont="1" applyFill="1" applyBorder="1" applyAlignment="1">
      <alignment horizontal="left" vertical="center"/>
    </xf>
    <xf numFmtId="0" fontId="1" fillId="2" borderId="13" xfId="14" applyFont="1" applyFill="1" applyBorder="1" applyAlignment="1">
      <alignment horizontal="left" vertical="center"/>
    </xf>
    <xf numFmtId="0" fontId="1" fillId="2" borderId="14" xfId="14" applyFont="1" applyFill="1" applyBorder="1" applyAlignment="1">
      <alignment horizontal="center" vertical="center"/>
    </xf>
    <xf numFmtId="0" fontId="1" fillId="0" borderId="17" xfId="14" applyFont="1" applyBorder="1" applyAlignment="1">
      <alignment horizontal="center" vertical="center"/>
    </xf>
    <xf numFmtId="0" fontId="1" fillId="0" borderId="18" xfId="14" applyFont="1" applyBorder="1" applyAlignment="1">
      <alignment horizontal="left" vertical="center"/>
    </xf>
    <xf numFmtId="0" fontId="2" fillId="2" borderId="0" xfId="27" applyFont="1" applyFill="1" applyAlignment="1">
      <alignment horizontal="left" vertical="center"/>
    </xf>
    <xf numFmtId="0" fontId="1" fillId="2" borderId="0" xfId="14" applyFont="1" applyFill="1" applyAlignment="1">
      <alignment horizontal="left" vertical="center"/>
    </xf>
    <xf numFmtId="0" fontId="1" fillId="2" borderId="19" xfId="14" applyFont="1" applyFill="1" applyBorder="1" applyAlignment="1">
      <alignment horizontal="left" vertical="center"/>
    </xf>
    <xf numFmtId="0" fontId="1" fillId="2" borderId="20" xfId="14" applyFont="1" applyFill="1" applyBorder="1" applyAlignment="1">
      <alignment horizontal="center" vertical="center"/>
    </xf>
    <xf numFmtId="0" fontId="1" fillId="0" borderId="18" xfId="14" applyFont="1" applyBorder="1" applyAlignment="1">
      <alignment horizontal="left" vertical="center" wrapText="1"/>
    </xf>
    <xf numFmtId="0" fontId="2" fillId="0" borderId="21" xfId="16" applyFont="1" applyBorder="1" applyAlignment="1">
      <alignment horizontal="left" vertical="center" indent="1"/>
    </xf>
    <xf numFmtId="0" fontId="1" fillId="0" borderId="22" xfId="14" applyFont="1" applyBorder="1" applyAlignment="1">
      <alignment horizontal="center" vertical="center"/>
    </xf>
    <xf numFmtId="0" fontId="1" fillId="0" borderId="23" xfId="14" applyFont="1" applyBorder="1" applyAlignment="1">
      <alignment horizontal="left" vertical="center" wrapText="1"/>
    </xf>
    <xf numFmtId="0" fontId="1" fillId="0" borderId="10" xfId="14" applyFont="1" applyBorder="1" applyAlignment="1">
      <alignment horizontal="left" vertical="center" wrapText="1"/>
    </xf>
    <xf numFmtId="0" fontId="1" fillId="2" borderId="0" xfId="16" applyFont="1" applyFill="1" applyAlignment="1">
      <alignment horizontal="left" vertical="center"/>
    </xf>
    <xf numFmtId="0" fontId="1" fillId="2" borderId="19" xfId="16" applyFont="1" applyFill="1" applyBorder="1" applyAlignment="1">
      <alignment horizontal="left" vertical="center"/>
    </xf>
    <xf numFmtId="0" fontId="1" fillId="2" borderId="20" xfId="16" applyFont="1" applyFill="1" applyBorder="1" applyAlignment="1">
      <alignment horizontal="center" vertical="center"/>
    </xf>
    <xf numFmtId="0" fontId="1" fillId="2" borderId="21" xfId="14" applyFont="1" applyFill="1" applyBorder="1" applyAlignment="1">
      <alignment horizontal="left" vertical="center"/>
    </xf>
    <xf numFmtId="0" fontId="1" fillId="2" borderId="37" xfId="14" applyFont="1" applyFill="1" applyBorder="1" applyAlignment="1">
      <alignment horizontal="left" vertical="center"/>
    </xf>
    <xf numFmtId="0" fontId="1" fillId="2" borderId="38" xfId="14" applyFont="1" applyFill="1" applyBorder="1" applyAlignment="1">
      <alignment horizontal="center" vertical="center"/>
    </xf>
    <xf numFmtId="0" fontId="1" fillId="6" borderId="37" xfId="14" applyFont="1" applyFill="1" applyBorder="1" applyAlignment="1">
      <alignment horizontal="left" vertical="center"/>
    </xf>
    <xf numFmtId="0" fontId="1" fillId="6" borderId="38" xfId="14" applyFont="1" applyFill="1" applyBorder="1" applyAlignment="1">
      <alignment horizontal="center" vertical="center"/>
    </xf>
    <xf numFmtId="0" fontId="1" fillId="0" borderId="42" xfId="42" applyFont="1" applyBorder="1" applyAlignment="1">
      <alignment horizontal="left" vertical="center"/>
    </xf>
    <xf numFmtId="0" fontId="1" fillId="0" borderId="43" xfId="42" applyFont="1" applyBorder="1" applyAlignment="1">
      <alignment horizontal="left" vertical="center"/>
    </xf>
    <xf numFmtId="0" fontId="1" fillId="0" borderId="44" xfId="42" applyFont="1" applyBorder="1" applyAlignment="1">
      <alignment horizontal="center" vertical="center"/>
    </xf>
    <xf numFmtId="0" fontId="1" fillId="2" borderId="50" xfId="14" applyFont="1" applyFill="1" applyBorder="1" applyAlignment="1">
      <alignment horizontal="left" vertical="center"/>
    </xf>
    <xf numFmtId="0" fontId="1" fillId="2" borderId="33" xfId="14" applyFont="1" applyFill="1" applyBorder="1" applyAlignment="1">
      <alignment horizontal="left" vertical="center"/>
    </xf>
    <xf numFmtId="0" fontId="1" fillId="2" borderId="34" xfId="14" applyFont="1" applyFill="1" applyBorder="1" applyAlignment="1">
      <alignment vertical="center"/>
    </xf>
    <xf numFmtId="0" fontId="1" fillId="2" borderId="25" xfId="14" applyFont="1" applyFill="1" applyBorder="1" applyAlignment="1">
      <alignment vertical="center"/>
    </xf>
    <xf numFmtId="0" fontId="1" fillId="2" borderId="50" xfId="14" applyFont="1" applyFill="1" applyBorder="1" applyAlignment="1">
      <alignment vertical="center"/>
    </xf>
    <xf numFmtId="0" fontId="1" fillId="2" borderId="19" xfId="14" applyFont="1" applyFill="1" applyBorder="1" applyAlignment="1">
      <alignment horizontal="centerContinuous" vertical="center"/>
    </xf>
    <xf numFmtId="0" fontId="4" fillId="2" borderId="21" xfId="14" applyFont="1" applyFill="1" applyBorder="1" applyAlignment="1">
      <alignment vertical="center"/>
    </xf>
    <xf numFmtId="0" fontId="1" fillId="0" borderId="19" xfId="14" applyFont="1" applyBorder="1" applyAlignment="1">
      <alignment vertical="center"/>
    </xf>
    <xf numFmtId="0" fontId="4" fillId="2" borderId="35" xfId="14" applyFont="1" applyFill="1" applyBorder="1" applyAlignment="1">
      <alignment vertical="center"/>
    </xf>
    <xf numFmtId="0" fontId="1" fillId="2" borderId="37" xfId="14" applyFont="1" applyFill="1" applyBorder="1" applyAlignment="1">
      <alignment vertical="center"/>
    </xf>
    <xf numFmtId="0" fontId="1" fillId="2" borderId="55" xfId="14" applyFont="1" applyFill="1" applyBorder="1" applyAlignment="1">
      <alignment vertical="center"/>
    </xf>
    <xf numFmtId="0" fontId="1" fillId="2" borderId="56" xfId="14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7" borderId="0" xfId="14" applyFont="1" applyFill="1" applyAlignment="1">
      <alignment vertical="center"/>
    </xf>
    <xf numFmtId="0" fontId="1" fillId="2" borderId="0" xfId="14" applyFont="1" applyFill="1" applyAlignment="1">
      <alignment horizontal="centerContinuous" vertical="center"/>
    </xf>
    <xf numFmtId="0" fontId="1" fillId="7" borderId="0" xfId="14" applyFont="1" applyFill="1" applyAlignment="1">
      <alignment horizontal="right" vertical="center"/>
    </xf>
    <xf numFmtId="0" fontId="2" fillId="0" borderId="0" xfId="9" applyFont="1">
      <alignment vertical="center"/>
    </xf>
    <xf numFmtId="0" fontId="6" fillId="0" borderId="0" xfId="9" applyFont="1" applyAlignment="1">
      <alignment horizontal="center" vertical="center"/>
    </xf>
    <xf numFmtId="0" fontId="7" fillId="5" borderId="0" xfId="9" applyFont="1" applyFill="1">
      <alignment vertical="center"/>
    </xf>
    <xf numFmtId="0" fontId="2" fillId="0" borderId="0" xfId="9" applyFont="1" applyAlignment="1">
      <alignment horizontal="center" vertical="center"/>
    </xf>
    <xf numFmtId="0" fontId="2" fillId="0" borderId="0" xfId="9" applyFont="1" applyAlignment="1">
      <alignment horizontal="left" vertical="center"/>
    </xf>
    <xf numFmtId="0" fontId="7" fillId="0" borderId="0" xfId="9" applyFont="1" applyAlignment="1">
      <alignment horizontal="center" vertical="center"/>
    </xf>
    <xf numFmtId="0" fontId="9" fillId="9" borderId="46" xfId="9" applyFont="1" applyFill="1" applyBorder="1" applyAlignment="1">
      <alignment horizontal="center" vertical="center"/>
    </xf>
    <xf numFmtId="0" fontId="9" fillId="9" borderId="46" xfId="9" applyFont="1" applyFill="1" applyBorder="1" applyAlignment="1">
      <alignment horizontal="center" vertical="center" wrapText="1"/>
    </xf>
    <xf numFmtId="0" fontId="7" fillId="5" borderId="46" xfId="9" applyFont="1" applyFill="1" applyBorder="1" applyAlignment="1">
      <alignment horizontal="center" vertical="center"/>
    </xf>
    <xf numFmtId="0" fontId="7" fillId="5" borderId="64" xfId="9" applyFont="1" applyFill="1" applyBorder="1" applyAlignment="1">
      <alignment horizontal="center" vertical="center"/>
    </xf>
    <xf numFmtId="0" fontId="7" fillId="5" borderId="46" xfId="9" applyFont="1" applyFill="1" applyBorder="1" applyAlignment="1">
      <alignment horizontal="left" vertical="center" wrapText="1"/>
    </xf>
    <xf numFmtId="9" fontId="7" fillId="5" borderId="46" xfId="9" applyNumberFormat="1" applyFont="1" applyFill="1" applyBorder="1" applyAlignment="1">
      <alignment horizontal="center" vertical="center"/>
    </xf>
    <xf numFmtId="0" fontId="7" fillId="5" borderId="46" xfId="9" applyFont="1" applyFill="1" applyBorder="1" applyAlignment="1">
      <alignment vertical="center" wrapText="1"/>
    </xf>
    <xf numFmtId="0" fontId="10" fillId="5" borderId="0" xfId="9" applyFont="1" applyFill="1">
      <alignment vertical="center"/>
    </xf>
    <xf numFmtId="0" fontId="7" fillId="5" borderId="65" xfId="9" applyFont="1" applyFill="1" applyBorder="1" applyAlignment="1">
      <alignment horizontal="center" vertical="center"/>
    </xf>
    <xf numFmtId="9" fontId="7" fillId="5" borderId="46" xfId="0" applyNumberFormat="1" applyFont="1" applyFill="1" applyBorder="1" applyAlignment="1">
      <alignment vertical="center" wrapText="1"/>
    </xf>
    <xf numFmtId="0" fontId="7" fillId="5" borderId="64" xfId="9" applyFont="1" applyFill="1" applyBorder="1" applyAlignment="1">
      <alignment horizontal="center" vertical="center" wrapText="1"/>
    </xf>
    <xf numFmtId="9" fontId="7" fillId="5" borderId="46" xfId="9" applyNumberFormat="1" applyFont="1" applyFill="1" applyBorder="1" applyAlignment="1">
      <alignment horizontal="center" vertical="center" wrapText="1"/>
    </xf>
    <xf numFmtId="0" fontId="11" fillId="5" borderId="46" xfId="9" applyFont="1" applyFill="1" applyBorder="1" applyAlignment="1">
      <alignment vertical="center" wrapText="1"/>
    </xf>
    <xf numFmtId="0" fontId="12" fillId="5" borderId="46" xfId="9" applyFont="1" applyFill="1" applyBorder="1" applyAlignment="1">
      <alignment horizontal="left" vertical="center" wrapText="1"/>
    </xf>
    <xf numFmtId="0" fontId="7" fillId="5" borderId="65" xfId="9" applyFont="1" applyFill="1" applyBorder="1" applyAlignment="1">
      <alignment horizontal="center" vertical="center" wrapText="1"/>
    </xf>
    <xf numFmtId="0" fontId="7" fillId="0" borderId="46" xfId="9" applyFont="1" applyBorder="1" applyAlignment="1">
      <alignment horizontal="left" vertical="center" wrapText="1"/>
    </xf>
    <xf numFmtId="9" fontId="7" fillId="0" borderId="46" xfId="9" applyNumberFormat="1" applyFont="1" applyBorder="1" applyAlignment="1">
      <alignment horizontal="center" vertical="center"/>
    </xf>
    <xf numFmtId="0" fontId="7" fillId="0" borderId="46" xfId="9" applyFont="1" applyBorder="1" applyAlignment="1">
      <alignment horizontal="left" vertical="center"/>
    </xf>
    <xf numFmtId="0" fontId="7" fillId="0" borderId="46" xfId="9" applyFont="1" applyBorder="1" applyAlignment="1">
      <alignment horizontal="center" vertical="center"/>
    </xf>
    <xf numFmtId="9" fontId="7" fillId="0" borderId="0" xfId="1" applyFont="1" applyFill="1" applyBorder="1" applyAlignment="1" applyProtection="1">
      <alignment horizontal="center" vertical="center"/>
    </xf>
    <xf numFmtId="0" fontId="7" fillId="5" borderId="46" xfId="9" applyFont="1" applyFill="1" applyBorder="1" applyAlignment="1">
      <alignment horizontal="center" vertical="center" wrapText="1"/>
    </xf>
    <xf numFmtId="0" fontId="7" fillId="5" borderId="46" xfId="9" applyFont="1" applyFill="1" applyBorder="1" applyAlignment="1">
      <alignment horizontal="left" vertical="center"/>
    </xf>
    <xf numFmtId="0" fontId="7" fillId="5" borderId="46" xfId="9" applyFont="1" applyFill="1" applyBorder="1">
      <alignment vertical="center"/>
    </xf>
    <xf numFmtId="0" fontId="7" fillId="5" borderId="46" xfId="9" applyFont="1" applyFill="1" applyBorder="1" applyAlignment="1">
      <alignment vertical="center" wrapText="1"/>
    </xf>
    <xf numFmtId="9" fontId="13" fillId="5" borderId="46" xfId="9" applyNumberFormat="1" applyFont="1" applyFill="1" applyBorder="1" applyAlignment="1">
      <alignment horizontal="center" vertical="center"/>
    </xf>
    <xf numFmtId="9" fontId="14" fillId="5" borderId="46" xfId="0" applyNumberFormat="1" applyFont="1" applyFill="1" applyBorder="1" applyAlignment="1">
      <alignment vertical="center" wrapText="1"/>
    </xf>
    <xf numFmtId="9" fontId="14" fillId="5" borderId="46" xfId="9" applyNumberFormat="1" applyFont="1" applyFill="1" applyBorder="1" applyAlignment="1">
      <alignment horizontal="center" vertical="center" wrapText="1"/>
    </xf>
    <xf numFmtId="0" fontId="14" fillId="5" borderId="46" xfId="9" applyFont="1" applyFill="1" applyBorder="1" applyAlignment="1">
      <alignment horizontal="center" vertical="center" wrapText="1"/>
    </xf>
    <xf numFmtId="0" fontId="15" fillId="5" borderId="46" xfId="9" applyFont="1" applyFill="1" applyBorder="1" applyAlignment="1">
      <alignment vertical="center" wrapText="1"/>
    </xf>
    <xf numFmtId="0" fontId="16" fillId="5" borderId="46" xfId="9" applyFont="1" applyFill="1" applyBorder="1" applyAlignment="1">
      <alignment horizontal="left" vertical="center" wrapText="1"/>
    </xf>
    <xf numFmtId="0" fontId="6" fillId="2" borderId="46" xfId="9" applyFont="1" applyFill="1" applyBorder="1" applyAlignment="1">
      <alignment horizontal="center" vertical="center"/>
    </xf>
    <xf numFmtId="0" fontId="7" fillId="0" borderId="0" xfId="9" applyFont="1">
      <alignment vertical="center"/>
    </xf>
    <xf numFmtId="0" fontId="7" fillId="10" borderId="46" xfId="9" applyFont="1" applyFill="1" applyBorder="1" applyAlignment="1">
      <alignment horizontal="left" vertical="center"/>
    </xf>
    <xf numFmtId="9" fontId="7" fillId="10" borderId="46" xfId="9" applyNumberFormat="1" applyFont="1" applyFill="1" applyBorder="1" applyAlignment="1">
      <alignment horizontal="center" vertical="center"/>
    </xf>
    <xf numFmtId="0" fontId="7" fillId="10" borderId="46" xfId="9" applyFont="1" applyFill="1" applyBorder="1" applyAlignment="1">
      <alignment horizontal="left" vertical="center" wrapText="1"/>
    </xf>
    <xf numFmtId="0" fontId="7" fillId="10" borderId="46" xfId="9" applyFont="1" applyFill="1" applyBorder="1" applyAlignment="1">
      <alignment horizontal="center" vertical="center"/>
    </xf>
    <xf numFmtId="180" fontId="7" fillId="10" borderId="46" xfId="10" applyNumberFormat="1" applyFont="1" applyFill="1" applyBorder="1" applyAlignment="1">
      <alignment horizontal="center" vertical="center" wrapText="1"/>
    </xf>
    <xf numFmtId="0" fontId="12" fillId="10" borderId="46" xfId="9" applyFont="1" applyFill="1" applyBorder="1" applyAlignment="1">
      <alignment horizontal="left" vertical="center" wrapText="1"/>
    </xf>
    <xf numFmtId="0" fontId="7" fillId="11" borderId="46" xfId="9" applyFont="1" applyFill="1" applyBorder="1" applyAlignment="1">
      <alignment horizontal="left" vertical="center" wrapText="1"/>
    </xf>
    <xf numFmtId="9" fontId="13" fillId="11" borderId="46" xfId="9" applyNumberFormat="1" applyFont="1" applyFill="1" applyBorder="1" applyAlignment="1">
      <alignment horizontal="center" vertical="center"/>
    </xf>
    <xf numFmtId="9" fontId="7" fillId="11" borderId="46" xfId="9" applyNumberFormat="1" applyFont="1" applyFill="1" applyBorder="1" applyAlignment="1">
      <alignment horizontal="center" vertical="center"/>
    </xf>
    <xf numFmtId="0" fontId="7" fillId="11" borderId="46" xfId="9" applyFont="1" applyFill="1" applyBorder="1" applyAlignment="1">
      <alignment horizontal="center" vertical="center"/>
    </xf>
    <xf numFmtId="0" fontId="7" fillId="11" borderId="46" xfId="9" applyFont="1" applyFill="1" applyBorder="1" applyAlignment="1">
      <alignment horizontal="left" vertical="center"/>
    </xf>
    <xf numFmtId="180" fontId="7" fillId="11" borderId="46" xfId="10" applyNumberFormat="1" applyFont="1" applyFill="1" applyBorder="1" applyAlignment="1">
      <alignment horizontal="left" vertical="center" wrapText="1"/>
    </xf>
    <xf numFmtId="180" fontId="7" fillId="11" borderId="46" xfId="10" applyNumberFormat="1" applyFont="1" applyFill="1" applyBorder="1" applyAlignment="1">
      <alignment horizontal="center" vertical="center" wrapText="1"/>
    </xf>
    <xf numFmtId="9" fontId="7" fillId="11" borderId="46" xfId="1" applyFont="1" applyFill="1" applyBorder="1" applyAlignment="1" applyProtection="1">
      <alignment horizontal="center" vertical="center"/>
    </xf>
    <xf numFmtId="0" fontId="7" fillId="12" borderId="46" xfId="9" applyFont="1" applyFill="1" applyBorder="1" applyAlignment="1">
      <alignment horizontal="left" vertical="center" wrapText="1"/>
    </xf>
    <xf numFmtId="9" fontId="13" fillId="12" borderId="46" xfId="9" applyNumberFormat="1" applyFont="1" applyFill="1" applyBorder="1" applyAlignment="1">
      <alignment horizontal="center" vertical="center"/>
    </xf>
    <xf numFmtId="9" fontId="7" fillId="12" borderId="46" xfId="9" applyNumberFormat="1" applyFont="1" applyFill="1" applyBorder="1" applyAlignment="1">
      <alignment horizontal="center" vertical="center"/>
    </xf>
    <xf numFmtId="0" fontId="7" fillId="12" borderId="46" xfId="9" applyFont="1" applyFill="1" applyBorder="1" applyAlignment="1">
      <alignment horizontal="center" vertical="center"/>
    </xf>
    <xf numFmtId="0" fontId="7" fillId="12" borderId="46" xfId="9" applyFont="1" applyFill="1" applyBorder="1" applyAlignment="1">
      <alignment horizontal="left" vertical="center"/>
    </xf>
    <xf numFmtId="180" fontId="7" fillId="12" borderId="46" xfId="10" applyNumberFormat="1" applyFont="1" applyFill="1" applyBorder="1" applyAlignment="1">
      <alignment horizontal="center" vertical="center" wrapText="1"/>
    </xf>
    <xf numFmtId="0" fontId="7" fillId="12" borderId="65" xfId="9" applyFont="1" applyFill="1" applyBorder="1" applyAlignment="1">
      <alignment horizontal="center" vertical="center"/>
    </xf>
    <xf numFmtId="0" fontId="7" fillId="12" borderId="46" xfId="9" applyFont="1" applyFill="1" applyBorder="1" applyAlignment="1">
      <alignment horizontal="center" vertical="center" wrapText="1"/>
    </xf>
    <xf numFmtId="9" fontId="7" fillId="12" borderId="46" xfId="1" applyFont="1" applyFill="1" applyBorder="1" applyAlignment="1" applyProtection="1">
      <alignment horizontal="center" vertical="center" wrapText="1"/>
    </xf>
    <xf numFmtId="0" fontId="7" fillId="11" borderId="46" xfId="9" applyFont="1" applyFill="1" applyBorder="1" applyAlignment="1">
      <alignment horizontal="center" vertical="center" wrapText="1"/>
    </xf>
    <xf numFmtId="0" fontId="1" fillId="0" borderId="0" xfId="33" applyFont="1" applyAlignment="1">
      <alignment vertical="center"/>
    </xf>
    <xf numFmtId="0" fontId="1" fillId="2" borderId="0" xfId="33" applyFont="1" applyFill="1" applyAlignment="1">
      <alignment vertical="center"/>
    </xf>
    <xf numFmtId="0" fontId="2" fillId="2" borderId="0" xfId="33" applyFont="1" applyFill="1" applyAlignment="1">
      <alignment vertical="center"/>
    </xf>
    <xf numFmtId="0" fontId="2" fillId="2" borderId="0" xfId="21" applyFont="1" applyFill="1" applyAlignment="1">
      <alignment horizontal="centerContinuous" vertical="center"/>
    </xf>
    <xf numFmtId="0" fontId="2" fillId="2" borderId="0" xfId="33" applyFont="1" applyFill="1" applyAlignment="1">
      <alignment horizontal="centerContinuous" vertical="center"/>
    </xf>
    <xf numFmtId="0" fontId="1" fillId="3" borderId="0" xfId="33" applyFont="1" applyFill="1" applyAlignment="1">
      <alignment horizontal="left"/>
    </xf>
    <xf numFmtId="0" fontId="1" fillId="0" borderId="0" xfId="33" applyFont="1" applyAlignment="1">
      <alignment horizontal="left" vertical="center"/>
    </xf>
    <xf numFmtId="0" fontId="1" fillId="0" borderId="0" xfId="33" applyFont="1" applyAlignment="1">
      <alignment horizontal="centerContinuous" vertical="center"/>
    </xf>
    <xf numFmtId="0" fontId="1" fillId="0" borderId="0" xfId="33" applyFont="1" applyAlignment="1">
      <alignment horizontal="center" vertical="center"/>
    </xf>
    <xf numFmtId="0" fontId="2" fillId="0" borderId="0" xfId="38" applyFont="1" applyAlignment="1">
      <alignment horizontal="center" vertical="center"/>
    </xf>
    <xf numFmtId="0" fontId="1" fillId="0" borderId="0" xfId="13" applyFont="1" applyAlignment="1">
      <alignment horizontal="left" vertical="center"/>
    </xf>
    <xf numFmtId="0" fontId="1" fillId="0" borderId="0" xfId="13" applyFont="1" applyAlignment="1">
      <alignment horizontal="centerContinuous" vertical="center"/>
    </xf>
    <xf numFmtId="0" fontId="1" fillId="2" borderId="0" xfId="33" applyFont="1" applyFill="1" applyAlignment="1">
      <alignment horizontal="left" vertical="center"/>
    </xf>
    <xf numFmtId="0" fontId="1" fillId="2" borderId="0" xfId="33" applyFont="1" applyFill="1" applyAlignment="1">
      <alignment horizontal="center" vertical="center"/>
    </xf>
    <xf numFmtId="0" fontId="1" fillId="4" borderId="1" xfId="33" applyFont="1" applyFill="1" applyBorder="1" applyAlignment="1">
      <alignment horizontal="center" vertical="center"/>
    </xf>
    <xf numFmtId="0" fontId="1" fillId="4" borderId="2" xfId="33" applyFont="1" applyFill="1" applyBorder="1" applyAlignment="1">
      <alignment horizontal="centerContinuous" vertical="center"/>
    </xf>
    <xf numFmtId="0" fontId="1" fillId="4" borderId="3" xfId="33" applyFont="1" applyFill="1" applyBorder="1" applyAlignment="1">
      <alignment horizontal="centerContinuous" vertical="center"/>
    </xf>
    <xf numFmtId="0" fontId="1" fillId="4" borderId="4" xfId="33" applyFont="1" applyFill="1" applyBorder="1" applyAlignment="1">
      <alignment horizontal="centerContinuous" vertical="center"/>
    </xf>
    <xf numFmtId="0" fontId="1" fillId="4" borderId="5" xfId="33" applyFont="1" applyFill="1" applyBorder="1" applyAlignment="1">
      <alignment horizontal="centerContinuous" vertical="center"/>
    </xf>
    <xf numFmtId="0" fontId="1" fillId="4" borderId="6" xfId="33" applyFont="1" applyFill="1" applyBorder="1" applyAlignment="1">
      <alignment horizontal="center" vertical="center"/>
    </xf>
    <xf numFmtId="0" fontId="1" fillId="0" borderId="9" xfId="33" applyFont="1" applyBorder="1" applyAlignment="1">
      <alignment horizontal="center" vertical="center"/>
    </xf>
    <xf numFmtId="0" fontId="1" fillId="0" borderId="10" xfId="13" applyFont="1" applyBorder="1" applyAlignment="1">
      <alignment horizontal="left" vertical="center"/>
    </xf>
    <xf numFmtId="0" fontId="1" fillId="2" borderId="11" xfId="33" applyFont="1" applyFill="1" applyBorder="1" applyAlignment="1">
      <alignment horizontal="left" vertical="center"/>
    </xf>
    <xf numFmtId="0" fontId="1" fillId="2" borderId="12" xfId="33" applyFont="1" applyFill="1" applyBorder="1" applyAlignment="1">
      <alignment horizontal="left" vertical="center"/>
    </xf>
    <xf numFmtId="0" fontId="1" fillId="2" borderId="13" xfId="33" applyFont="1" applyFill="1" applyBorder="1" applyAlignment="1">
      <alignment horizontal="left" vertical="center"/>
    </xf>
    <xf numFmtId="0" fontId="1" fillId="2" borderId="14" xfId="33" applyFont="1" applyFill="1" applyBorder="1" applyAlignment="1">
      <alignment horizontal="center" vertical="center"/>
    </xf>
    <xf numFmtId="0" fontId="1" fillId="0" borderId="17" xfId="33" applyFont="1" applyBorder="1" applyAlignment="1">
      <alignment horizontal="center" vertical="center"/>
    </xf>
    <xf numFmtId="0" fontId="1" fillId="0" borderId="18" xfId="33" applyFont="1" applyBorder="1" applyAlignment="1">
      <alignment horizontal="left" vertical="center"/>
    </xf>
    <xf numFmtId="0" fontId="1" fillId="2" borderId="21" xfId="33" applyFont="1" applyFill="1" applyBorder="1" applyAlignment="1">
      <alignment horizontal="left" vertical="center"/>
    </xf>
    <xf numFmtId="0" fontId="1" fillId="2" borderId="19" xfId="33" applyFont="1" applyFill="1" applyBorder="1" applyAlignment="1">
      <alignment horizontal="left" vertical="center"/>
    </xf>
    <xf numFmtId="0" fontId="1" fillId="2" borderId="20" xfId="33" applyFont="1" applyFill="1" applyBorder="1" applyAlignment="1">
      <alignment horizontal="center" vertical="center"/>
    </xf>
    <xf numFmtId="0" fontId="1" fillId="0" borderId="18" xfId="33" applyFont="1" applyBorder="1" applyAlignment="1">
      <alignment horizontal="left" vertical="center" wrapText="1"/>
    </xf>
    <xf numFmtId="0" fontId="1" fillId="0" borderId="22" xfId="33" applyFont="1" applyBorder="1" applyAlignment="1">
      <alignment horizontal="center" vertical="center"/>
    </xf>
    <xf numFmtId="0" fontId="1" fillId="0" borderId="23" xfId="33" applyFont="1" applyBorder="1" applyAlignment="1">
      <alignment horizontal="left" vertical="center" wrapText="1"/>
    </xf>
    <xf numFmtId="0" fontId="1" fillId="0" borderId="10" xfId="33" applyFont="1" applyBorder="1" applyAlignment="1">
      <alignment horizontal="left" vertical="center" wrapText="1"/>
    </xf>
    <xf numFmtId="0" fontId="1" fillId="2" borderId="37" xfId="33" applyFont="1" applyFill="1" applyBorder="1" applyAlignment="1">
      <alignment horizontal="left" vertical="center"/>
    </xf>
    <xf numFmtId="0" fontId="1" fillId="2" borderId="38" xfId="33" applyFont="1" applyFill="1" applyBorder="1" applyAlignment="1">
      <alignment horizontal="center" vertical="center"/>
    </xf>
    <xf numFmtId="0" fontId="1" fillId="6" borderId="37" xfId="33" applyFont="1" applyFill="1" applyBorder="1" applyAlignment="1">
      <alignment horizontal="left" vertical="center"/>
    </xf>
    <xf numFmtId="0" fontId="1" fillId="6" borderId="38" xfId="33" applyFont="1" applyFill="1" applyBorder="1" applyAlignment="1">
      <alignment horizontal="center" vertical="center"/>
    </xf>
    <xf numFmtId="0" fontId="1" fillId="0" borderId="42" xfId="40" applyFont="1" applyBorder="1" applyAlignment="1">
      <alignment horizontal="left" vertical="center"/>
    </xf>
    <xf numFmtId="0" fontId="1" fillId="0" borderId="43" xfId="40" applyFont="1" applyBorder="1" applyAlignment="1">
      <alignment horizontal="left" vertical="center"/>
    </xf>
    <xf numFmtId="0" fontId="1" fillId="0" borderId="44" xfId="40" applyFont="1" applyBorder="1" applyAlignment="1">
      <alignment horizontal="center" vertical="center"/>
    </xf>
    <xf numFmtId="0" fontId="1" fillId="2" borderId="50" xfId="33" applyFont="1" applyFill="1" applyBorder="1" applyAlignment="1">
      <alignment horizontal="left" vertical="center"/>
    </xf>
    <xf numFmtId="0" fontId="1" fillId="2" borderId="33" xfId="33" applyFont="1" applyFill="1" applyBorder="1" applyAlignment="1">
      <alignment horizontal="left" vertical="center"/>
    </xf>
    <xf numFmtId="0" fontId="1" fillId="2" borderId="34" xfId="33" applyFont="1" applyFill="1" applyBorder="1" applyAlignment="1">
      <alignment vertical="center"/>
    </xf>
    <xf numFmtId="0" fontId="1" fillId="2" borderId="25" xfId="33" applyFont="1" applyFill="1" applyBorder="1" applyAlignment="1">
      <alignment vertical="center"/>
    </xf>
    <xf numFmtId="0" fontId="1" fillId="2" borderId="50" xfId="33" applyFont="1" applyFill="1" applyBorder="1" applyAlignment="1">
      <alignment vertical="center"/>
    </xf>
    <xf numFmtId="0" fontId="1" fillId="2" borderId="19" xfId="33" applyFont="1" applyFill="1" applyBorder="1" applyAlignment="1">
      <alignment horizontal="centerContinuous" vertical="center"/>
    </xf>
    <xf numFmtId="0" fontId="4" fillId="2" borderId="21" xfId="33" applyFont="1" applyFill="1" applyBorder="1" applyAlignment="1">
      <alignment vertical="center"/>
    </xf>
    <xf numFmtId="0" fontId="1" fillId="0" borderId="19" xfId="33" applyFont="1" applyBorder="1" applyAlignment="1">
      <alignment vertical="center"/>
    </xf>
    <xf numFmtId="0" fontId="4" fillId="2" borderId="35" xfId="33" applyFont="1" applyFill="1" applyBorder="1" applyAlignment="1">
      <alignment vertical="center"/>
    </xf>
    <xf numFmtId="0" fontId="1" fillId="2" borderId="37" xfId="33" applyFont="1" applyFill="1" applyBorder="1" applyAlignment="1">
      <alignment vertical="center"/>
    </xf>
    <xf numFmtId="0" fontId="1" fillId="2" borderId="55" xfId="33" applyFont="1" applyFill="1" applyBorder="1" applyAlignment="1">
      <alignment vertical="center"/>
    </xf>
    <xf numFmtId="0" fontId="1" fillId="2" borderId="56" xfId="33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21" applyFont="1" applyFill="1" applyAlignment="1">
      <alignment horizontal="centerContinuous" vertical="center"/>
    </xf>
    <xf numFmtId="0" fontId="18" fillId="2" borderId="0" xfId="0" applyFont="1" applyFill="1" applyAlignment="1">
      <alignment horizontal="centerContinuous" vertical="center"/>
    </xf>
    <xf numFmtId="0" fontId="19" fillId="3" borderId="0" xfId="0" applyFont="1" applyFill="1" applyAlignment="1">
      <alignment horizontal="left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Continuous" vertical="center"/>
    </xf>
    <xf numFmtId="0" fontId="1" fillId="2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Continuous" vertical="center"/>
    </xf>
    <xf numFmtId="0" fontId="1" fillId="4" borderId="3" xfId="0" applyFont="1" applyFill="1" applyBorder="1" applyAlignment="1">
      <alignment horizontal="centerContinuous" vertical="center"/>
    </xf>
    <xf numFmtId="0" fontId="1" fillId="4" borderId="4" xfId="0" applyFont="1" applyFill="1" applyBorder="1" applyAlignment="1">
      <alignment horizontal="centerContinuous" vertical="center"/>
    </xf>
    <xf numFmtId="0" fontId="1" fillId="4" borderId="5" xfId="0" applyFont="1" applyFill="1" applyBorder="1" applyAlignment="1">
      <alignment horizontal="centerContinuous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2" borderId="21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2" borderId="37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left" vertical="center"/>
    </xf>
    <xf numFmtId="0" fontId="1" fillId="6" borderId="38" xfId="0" applyFont="1" applyFill="1" applyBorder="1" applyAlignment="1">
      <alignment horizontal="center" vertical="center"/>
    </xf>
    <xf numFmtId="0" fontId="1" fillId="0" borderId="42" xfId="41" applyFont="1" applyBorder="1" applyAlignment="1">
      <alignment horizontal="left" vertical="center"/>
    </xf>
    <xf numFmtId="0" fontId="1" fillId="0" borderId="43" xfId="41" applyFont="1" applyBorder="1" applyAlignment="1">
      <alignment horizontal="left" vertical="center"/>
    </xf>
    <xf numFmtId="0" fontId="1" fillId="0" borderId="44" xfId="41" applyFont="1" applyBorder="1" applyAlignment="1">
      <alignment horizontal="center" vertical="center"/>
    </xf>
    <xf numFmtId="0" fontId="1" fillId="5" borderId="25" xfId="0" applyFont="1" applyFill="1" applyBorder="1" applyAlignment="1">
      <alignment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Continuous" vertical="center"/>
    </xf>
    <xf numFmtId="0" fontId="4" fillId="2" borderId="21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4" fillId="2" borderId="35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55" xfId="0" applyFont="1" applyFill="1" applyBorder="1" applyAlignment="1">
      <alignment vertical="center"/>
    </xf>
    <xf numFmtId="0" fontId="1" fillId="2" borderId="56" xfId="0" applyFont="1" applyFill="1" applyBorder="1" applyAlignment="1">
      <alignment vertical="center"/>
    </xf>
    <xf numFmtId="0" fontId="17" fillId="0" borderId="0" xfId="0" quotePrefix="1" applyFont="1" applyAlignment="1">
      <alignment horizontal="left" vertical="center"/>
    </xf>
    <xf numFmtId="0" fontId="17" fillId="0" borderId="0" xfId="0" quotePrefix="1" applyFont="1" applyAlignment="1">
      <alignment horizontal="centerContinuous" vertical="center"/>
    </xf>
    <xf numFmtId="0" fontId="1" fillId="0" borderId="0" xfId="13" quotePrefix="1" applyFont="1" applyAlignment="1">
      <alignment horizontal="centerContinuous"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centerContinuous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6" borderId="35" xfId="0" applyFont="1" applyFill="1" applyBorder="1" applyAlignment="1">
      <alignment horizontal="left" vertical="center"/>
    </xf>
    <xf numFmtId="0" fontId="1" fillId="6" borderId="36" xfId="0" applyFont="1" applyFill="1" applyBorder="1" applyAlignment="1">
      <alignment horizontal="left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2" xfId="41" applyFont="1" applyFill="1" applyBorder="1" applyAlignment="1">
      <alignment horizontal="center" vertical="center"/>
    </xf>
    <xf numFmtId="0" fontId="1" fillId="4" borderId="43" xfId="41" applyFont="1" applyFill="1" applyBorder="1" applyAlignment="1">
      <alignment horizontal="center" vertical="center"/>
    </xf>
    <xf numFmtId="0" fontId="1" fillId="4" borderId="51" xfId="41" applyFont="1" applyFill="1" applyBorder="1" applyAlignment="1">
      <alignment horizontal="center" vertical="center"/>
    </xf>
    <xf numFmtId="0" fontId="1" fillId="2" borderId="35" xfId="41" applyFont="1" applyFill="1" applyBorder="1" applyAlignment="1">
      <alignment horizontal="center" vertical="center"/>
    </xf>
    <xf numFmtId="0" fontId="1" fillId="2" borderId="36" xfId="41" applyFont="1" applyFill="1" applyBorder="1" applyAlignment="1">
      <alignment horizontal="center" vertical="center"/>
    </xf>
    <xf numFmtId="0" fontId="1" fillId="2" borderId="38" xfId="41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60" xfId="41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34" xfId="0" applyFont="1" applyFill="1" applyBorder="1" applyAlignment="1">
      <alignment horizontal="left" vertical="center" wrapText="1"/>
    </xf>
    <xf numFmtId="0" fontId="1" fillId="5" borderId="25" xfId="0" applyFont="1" applyFill="1" applyBorder="1" applyAlignment="1">
      <alignment horizontal="left" vertical="center" wrapText="1"/>
    </xf>
    <xf numFmtId="0" fontId="1" fillId="5" borderId="5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textRotation="255" wrapText="1"/>
    </xf>
    <xf numFmtId="0" fontId="1" fillId="2" borderId="16" xfId="0" applyFont="1" applyFill="1" applyBorder="1" applyAlignment="1">
      <alignment horizontal="center" vertical="center" textRotation="255" wrapText="1"/>
    </xf>
    <xf numFmtId="0" fontId="1" fillId="2" borderId="29" xfId="0" applyFont="1" applyFill="1" applyBorder="1" applyAlignment="1">
      <alignment horizontal="center" vertical="center" textRotation="255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textRotation="255" wrapText="1"/>
    </xf>
    <xf numFmtId="0" fontId="1" fillId="2" borderId="54" xfId="0" applyFont="1" applyFill="1" applyBorder="1" applyAlignment="1">
      <alignment horizontal="center" vertical="center" textRotation="255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" fillId="0" borderId="18" xfId="37" applyFont="1" applyBorder="1" applyAlignment="1">
      <alignment horizontal="center" vertical="center" wrapText="1"/>
    </xf>
    <xf numFmtId="0" fontId="2" fillId="0" borderId="18" xfId="37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/>
    </xf>
    <xf numFmtId="0" fontId="1" fillId="2" borderId="50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40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left" vertical="center" wrapText="1"/>
    </xf>
    <xf numFmtId="0" fontId="5" fillId="2" borderId="48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 wrapText="1"/>
    </xf>
    <xf numFmtId="0" fontId="5" fillId="2" borderId="37" xfId="0" applyFont="1" applyFill="1" applyBorder="1" applyAlignment="1">
      <alignment horizontal="left" vertical="center" wrapText="1"/>
    </xf>
    <xf numFmtId="0" fontId="1" fillId="2" borderId="33" xfId="39" applyFont="1" applyFill="1" applyBorder="1" applyAlignment="1">
      <alignment horizontal="left" vertical="center" wrapText="1"/>
    </xf>
    <xf numFmtId="0" fontId="1" fillId="2" borderId="49" xfId="39" applyFont="1" applyFill="1" applyBorder="1" applyAlignment="1">
      <alignment horizontal="left" vertical="center" wrapText="1"/>
    </xf>
    <xf numFmtId="0" fontId="1" fillId="2" borderId="50" xfId="39" applyFont="1" applyFill="1" applyBorder="1" applyAlignment="1">
      <alignment horizontal="left" vertical="center" wrapText="1"/>
    </xf>
    <xf numFmtId="0" fontId="1" fillId="2" borderId="20" xfId="39" applyFont="1" applyFill="1" applyBorder="1" applyAlignment="1">
      <alignment horizontal="left" vertical="center" wrapText="1"/>
    </xf>
    <xf numFmtId="0" fontId="1" fillId="2" borderId="39" xfId="39" applyFont="1" applyFill="1" applyBorder="1" applyAlignment="1">
      <alignment horizontal="left" vertical="center" wrapText="1"/>
    </xf>
    <xf numFmtId="0" fontId="1" fillId="2" borderId="38" xfId="39" applyFont="1" applyFill="1" applyBorder="1" applyAlignment="1">
      <alignment horizontal="left" vertical="center" wrapText="1"/>
    </xf>
    <xf numFmtId="0" fontId="1" fillId="2" borderId="35" xfId="33" applyFont="1" applyFill="1" applyBorder="1" applyAlignment="1">
      <alignment horizontal="left" vertical="center"/>
    </xf>
    <xf numFmtId="0" fontId="1" fillId="2" borderId="36" xfId="33" applyFont="1" applyFill="1" applyBorder="1" applyAlignment="1">
      <alignment horizontal="left" vertical="center"/>
    </xf>
    <xf numFmtId="0" fontId="1" fillId="6" borderId="35" xfId="33" applyFont="1" applyFill="1" applyBorder="1" applyAlignment="1">
      <alignment horizontal="left" vertical="center"/>
    </xf>
    <xf numFmtId="0" fontId="1" fillId="6" borderId="36" xfId="33" applyFont="1" applyFill="1" applyBorder="1" applyAlignment="1">
      <alignment horizontal="left" vertical="center"/>
    </xf>
    <xf numFmtId="0" fontId="1" fillId="4" borderId="45" xfId="33" applyFont="1" applyFill="1" applyBorder="1" applyAlignment="1">
      <alignment horizontal="center" vertical="center"/>
    </xf>
    <xf numFmtId="0" fontId="1" fillId="4" borderId="46" xfId="33" applyFont="1" applyFill="1" applyBorder="1" applyAlignment="1">
      <alignment horizontal="center" vertical="center"/>
    </xf>
    <xf numFmtId="0" fontId="1" fillId="4" borderId="46" xfId="13" applyFont="1" applyFill="1" applyBorder="1" applyAlignment="1">
      <alignment horizontal="center" vertical="center"/>
    </xf>
    <xf numFmtId="0" fontId="1" fillId="4" borderId="44" xfId="13" applyFont="1" applyFill="1" applyBorder="1" applyAlignment="1">
      <alignment horizontal="center" vertical="center"/>
    </xf>
    <xf numFmtId="0" fontId="2" fillId="0" borderId="33" xfId="30" applyFont="1" applyBorder="1" applyAlignment="1">
      <alignment horizontal="left" vertical="center"/>
    </xf>
    <xf numFmtId="0" fontId="2" fillId="0" borderId="49" xfId="30" applyFont="1" applyBorder="1" applyAlignment="1">
      <alignment horizontal="left" vertical="center"/>
    </xf>
    <xf numFmtId="0" fontId="2" fillId="0" borderId="50" xfId="30" applyFont="1" applyBorder="1" applyAlignment="1">
      <alignment horizontal="left" vertical="center"/>
    </xf>
    <xf numFmtId="0" fontId="2" fillId="0" borderId="20" xfId="30" applyFont="1" applyBorder="1" applyAlignment="1">
      <alignment horizontal="left" vertical="center"/>
    </xf>
    <xf numFmtId="0" fontId="1" fillId="4" borderId="42" xfId="40" applyFont="1" applyFill="1" applyBorder="1" applyAlignment="1">
      <alignment horizontal="center" vertical="center"/>
    </xf>
    <xf numFmtId="0" fontId="1" fillId="4" borderId="43" xfId="40" applyFont="1" applyFill="1" applyBorder="1" applyAlignment="1">
      <alignment horizontal="center" vertical="center"/>
    </xf>
    <xf numFmtId="0" fontId="1" fillId="4" borderId="51" xfId="40" applyFont="1" applyFill="1" applyBorder="1" applyAlignment="1">
      <alignment horizontal="center" vertical="center"/>
    </xf>
    <xf numFmtId="0" fontId="1" fillId="2" borderId="35" xfId="40" applyFont="1" applyFill="1" applyBorder="1" applyAlignment="1">
      <alignment horizontal="center" vertical="center"/>
    </xf>
    <xf numFmtId="0" fontId="1" fillId="2" borderId="36" xfId="40" applyFont="1" applyFill="1" applyBorder="1" applyAlignment="1">
      <alignment horizontal="center" vertical="center"/>
    </xf>
    <xf numFmtId="0" fontId="1" fillId="2" borderId="38" xfId="40" applyFont="1" applyFill="1" applyBorder="1" applyAlignment="1">
      <alignment horizontal="center" vertical="center"/>
    </xf>
    <xf numFmtId="0" fontId="1" fillId="4" borderId="42" xfId="33" applyFont="1" applyFill="1" applyBorder="1" applyAlignment="1">
      <alignment horizontal="center" vertical="center"/>
    </xf>
    <xf numFmtId="0" fontId="1" fillId="4" borderId="52" xfId="33" applyFont="1" applyFill="1" applyBorder="1" applyAlignment="1">
      <alignment horizontal="center" vertical="center"/>
    </xf>
    <xf numFmtId="0" fontId="1" fillId="4" borderId="60" xfId="40" applyFont="1" applyFill="1" applyBorder="1" applyAlignment="1">
      <alignment horizontal="center" vertical="center"/>
    </xf>
    <xf numFmtId="0" fontId="1" fillId="4" borderId="43" xfId="33" applyFont="1" applyFill="1" applyBorder="1" applyAlignment="1">
      <alignment horizontal="center" vertical="center"/>
    </xf>
    <xf numFmtId="0" fontId="1" fillId="4" borderId="60" xfId="33" applyFont="1" applyFill="1" applyBorder="1" applyAlignment="1">
      <alignment horizontal="center" vertical="center"/>
    </xf>
    <xf numFmtId="0" fontId="1" fillId="2" borderId="61" xfId="33" applyFont="1" applyFill="1" applyBorder="1" applyAlignment="1">
      <alignment horizontal="center" vertical="center"/>
    </xf>
    <xf numFmtId="0" fontId="1" fillId="2" borderId="62" xfId="33" applyFont="1" applyFill="1" applyBorder="1" applyAlignment="1">
      <alignment horizontal="center" vertical="center"/>
    </xf>
    <xf numFmtId="0" fontId="1" fillId="2" borderId="63" xfId="33" applyFont="1" applyFill="1" applyBorder="1" applyAlignment="1">
      <alignment horizontal="center" vertical="center"/>
    </xf>
    <xf numFmtId="0" fontId="1" fillId="5" borderId="53" xfId="0" applyFont="1" applyFill="1" applyBorder="1" applyAlignment="1">
      <alignment horizontal="left" vertical="top" wrapText="1"/>
    </xf>
    <xf numFmtId="0" fontId="1" fillId="2" borderId="8" xfId="33" applyFont="1" applyFill="1" applyBorder="1" applyAlignment="1">
      <alignment horizontal="center" vertical="center" textRotation="255" wrapText="1"/>
    </xf>
    <xf numFmtId="0" fontId="1" fillId="2" borderId="16" xfId="33" applyFont="1" applyFill="1" applyBorder="1" applyAlignment="1">
      <alignment horizontal="center" vertical="center" textRotation="255" wrapText="1"/>
    </xf>
    <xf numFmtId="0" fontId="1" fillId="2" borderId="29" xfId="33" applyFont="1" applyFill="1" applyBorder="1" applyAlignment="1">
      <alignment horizontal="center" vertical="center" textRotation="255" wrapText="1"/>
    </xf>
    <xf numFmtId="0" fontId="1" fillId="0" borderId="32" xfId="13" applyFont="1" applyBorder="1" applyAlignment="1">
      <alignment horizontal="center" vertical="center" wrapText="1"/>
    </xf>
    <xf numFmtId="0" fontId="1" fillId="0" borderId="29" xfId="13" applyFont="1" applyBorder="1" applyAlignment="1">
      <alignment horizontal="center" vertical="center" wrapText="1"/>
    </xf>
    <xf numFmtId="0" fontId="1" fillId="2" borderId="32" xfId="33" applyFont="1" applyFill="1" applyBorder="1" applyAlignment="1">
      <alignment horizontal="center" vertical="center" textRotation="255" wrapText="1"/>
    </xf>
    <xf numFmtId="0" fontId="1" fillId="2" borderId="54" xfId="33" applyFont="1" applyFill="1" applyBorder="1" applyAlignment="1">
      <alignment horizontal="center" vertical="center" textRotation="255" wrapText="1"/>
    </xf>
    <xf numFmtId="0" fontId="1" fillId="0" borderId="22" xfId="33" applyFont="1" applyBorder="1" applyAlignment="1">
      <alignment horizontal="center" vertical="center"/>
    </xf>
    <xf numFmtId="0" fontId="1" fillId="0" borderId="24" xfId="33" applyFont="1" applyBorder="1" applyAlignment="1">
      <alignment horizontal="center" vertical="center"/>
    </xf>
    <xf numFmtId="0" fontId="1" fillId="0" borderId="9" xfId="33" applyFont="1" applyBorder="1" applyAlignment="1">
      <alignment horizontal="center" vertical="center"/>
    </xf>
    <xf numFmtId="0" fontId="1" fillId="0" borderId="24" xfId="33" applyFont="1" applyBorder="1" applyAlignment="1">
      <alignment horizontal="center" vertical="center" wrapText="1"/>
    </xf>
    <xf numFmtId="0" fontId="1" fillId="0" borderId="30" xfId="33" applyFont="1" applyBorder="1" applyAlignment="1">
      <alignment horizontal="center" vertical="center" wrapText="1"/>
    </xf>
    <xf numFmtId="0" fontId="1" fillId="0" borderId="23" xfId="33" applyFont="1" applyBorder="1" applyAlignment="1">
      <alignment horizontal="left" vertical="center" wrapText="1"/>
    </xf>
    <xf numFmtId="0" fontId="3" fillId="0" borderId="25" xfId="33" applyFont="1" applyBorder="1" applyAlignment="1">
      <alignment horizontal="left" vertical="center" wrapText="1"/>
    </xf>
    <xf numFmtId="0" fontId="1" fillId="0" borderId="25" xfId="33" applyFont="1" applyBorder="1" applyAlignment="1">
      <alignment horizontal="left" vertical="center" wrapText="1"/>
    </xf>
    <xf numFmtId="0" fontId="1" fillId="0" borderId="26" xfId="33" applyFont="1" applyBorder="1" applyAlignment="1">
      <alignment vertical="center" wrapText="1"/>
    </xf>
    <xf numFmtId="0" fontId="1" fillId="0" borderId="27" xfId="33" applyFont="1" applyBorder="1" applyAlignment="1">
      <alignment horizontal="left" vertical="center" wrapText="1"/>
    </xf>
    <xf numFmtId="0" fontId="1" fillId="0" borderId="28" xfId="33" applyFont="1" applyBorder="1" applyAlignment="1">
      <alignment horizontal="left" vertical="center" wrapText="1"/>
    </xf>
    <xf numFmtId="0" fontId="1" fillId="0" borderId="31" xfId="33" applyFont="1" applyBorder="1" applyAlignment="1">
      <alignment horizontal="left" vertical="center" wrapText="1"/>
    </xf>
    <xf numFmtId="0" fontId="1" fillId="2" borderId="33" xfId="33" applyFont="1" applyFill="1" applyBorder="1" applyAlignment="1">
      <alignment horizontal="left" vertical="center" wrapText="1"/>
    </xf>
    <xf numFmtId="0" fontId="1" fillId="2" borderId="34" xfId="33" applyFont="1" applyFill="1" applyBorder="1" applyAlignment="1">
      <alignment horizontal="left" vertical="center"/>
    </xf>
    <xf numFmtId="0" fontId="1" fillId="2" borderId="50" xfId="33" applyFont="1" applyFill="1" applyBorder="1" applyAlignment="1">
      <alignment horizontal="left" vertical="center"/>
    </xf>
    <xf numFmtId="0" fontId="1" fillId="2" borderId="25" xfId="33" applyFont="1" applyFill="1" applyBorder="1" applyAlignment="1">
      <alignment horizontal="left" vertical="center"/>
    </xf>
    <xf numFmtId="0" fontId="1" fillId="2" borderId="39" xfId="33" applyFont="1" applyFill="1" applyBorder="1" applyAlignment="1">
      <alignment horizontal="left" vertical="center"/>
    </xf>
    <xf numFmtId="0" fontId="1" fillId="2" borderId="40" xfId="33" applyFont="1" applyFill="1" applyBorder="1" applyAlignment="1">
      <alignment horizontal="left" vertical="center"/>
    </xf>
    <xf numFmtId="0" fontId="1" fillId="0" borderId="33" xfId="33" applyFont="1" applyBorder="1" applyAlignment="1">
      <alignment horizontal="center" vertical="center" wrapText="1"/>
    </xf>
    <xf numFmtId="0" fontId="1" fillId="0" borderId="41" xfId="33" applyFont="1" applyBorder="1" applyAlignment="1">
      <alignment horizontal="center" vertical="center" wrapText="1"/>
    </xf>
    <xf numFmtId="0" fontId="1" fillId="0" borderId="39" xfId="33" applyFont="1" applyBorder="1" applyAlignment="1">
      <alignment horizontal="center" vertical="center" wrapText="1"/>
    </xf>
    <xf numFmtId="0" fontId="1" fillId="0" borderId="36" xfId="33" applyFont="1" applyBorder="1" applyAlignment="1">
      <alignment horizontal="center" vertical="center" wrapText="1"/>
    </xf>
    <xf numFmtId="0" fontId="1" fillId="2" borderId="0" xfId="33" applyFont="1" applyFill="1" applyAlignment="1">
      <alignment horizontal="center" vertical="center"/>
    </xf>
    <xf numFmtId="0" fontId="1" fillId="2" borderId="20" xfId="33" applyFont="1" applyFill="1" applyBorder="1" applyAlignment="1">
      <alignment horizontal="center" vertical="center"/>
    </xf>
    <xf numFmtId="0" fontId="1" fillId="2" borderId="47" xfId="33" applyFont="1" applyFill="1" applyBorder="1" applyAlignment="1">
      <alignment horizontal="left" vertical="center" wrapText="1"/>
    </xf>
    <xf numFmtId="0" fontId="1" fillId="2" borderId="48" xfId="33" applyFont="1" applyFill="1" applyBorder="1" applyAlignment="1">
      <alignment horizontal="left" vertical="center" wrapText="1"/>
    </xf>
    <xf numFmtId="0" fontId="1" fillId="2" borderId="21" xfId="33" applyFont="1" applyFill="1" applyBorder="1" applyAlignment="1">
      <alignment horizontal="left" vertical="center" wrapText="1"/>
    </xf>
    <xf numFmtId="0" fontId="1" fillId="2" borderId="19" xfId="33" applyFont="1" applyFill="1" applyBorder="1" applyAlignment="1">
      <alignment horizontal="left" vertical="center" wrapText="1"/>
    </xf>
    <xf numFmtId="0" fontId="1" fillId="2" borderId="35" xfId="33" applyFont="1" applyFill="1" applyBorder="1" applyAlignment="1">
      <alignment horizontal="left" vertical="center" wrapText="1"/>
    </xf>
    <xf numFmtId="0" fontId="1" fillId="2" borderId="37" xfId="33" applyFont="1" applyFill="1" applyBorder="1" applyAlignment="1">
      <alignment horizontal="left" vertical="center" wrapText="1"/>
    </xf>
    <xf numFmtId="0" fontId="2" fillId="0" borderId="50" xfId="30" applyFont="1" applyBorder="1" applyAlignment="1">
      <alignment horizontal="left" vertical="center" wrapText="1"/>
    </xf>
    <xf numFmtId="0" fontId="2" fillId="0" borderId="20" xfId="30" applyFont="1" applyBorder="1" applyAlignment="1">
      <alignment horizontal="left" vertical="center" wrapText="1"/>
    </xf>
    <xf numFmtId="0" fontId="1" fillId="0" borderId="33" xfId="33" applyFont="1" applyBorder="1" applyAlignment="1">
      <alignment horizontal="center" vertical="center"/>
    </xf>
    <xf numFmtId="0" fontId="1" fillId="0" borderId="34" xfId="33" applyFont="1" applyBorder="1" applyAlignment="1">
      <alignment horizontal="center" vertical="center"/>
    </xf>
    <xf numFmtId="0" fontId="1" fillId="0" borderId="39" xfId="33" applyFont="1" applyBorder="1" applyAlignment="1">
      <alignment horizontal="center" vertical="center"/>
    </xf>
    <xf numFmtId="0" fontId="1" fillId="0" borderId="40" xfId="33" applyFont="1" applyBorder="1" applyAlignment="1">
      <alignment horizontal="center" vertical="center"/>
    </xf>
    <xf numFmtId="0" fontId="8" fillId="0" borderId="46" xfId="9" applyFont="1" applyBorder="1" applyAlignment="1">
      <alignment horizontal="center" vertical="center"/>
    </xf>
    <xf numFmtId="0" fontId="9" fillId="0" borderId="46" xfId="9" applyFont="1" applyBorder="1" applyAlignment="1">
      <alignment horizontal="center" vertical="center"/>
    </xf>
    <xf numFmtId="0" fontId="7" fillId="10" borderId="64" xfId="9" applyFont="1" applyFill="1" applyBorder="1" applyAlignment="1">
      <alignment horizontal="center" vertical="center"/>
    </xf>
    <xf numFmtId="0" fontId="7" fillId="10" borderId="65" xfId="9" applyFont="1" applyFill="1" applyBorder="1" applyAlignment="1">
      <alignment horizontal="center" vertical="center"/>
    </xf>
    <xf numFmtId="0" fontId="7" fillId="11" borderId="64" xfId="9" applyFont="1" applyFill="1" applyBorder="1" applyAlignment="1">
      <alignment horizontal="center" vertical="center"/>
    </xf>
    <xf numFmtId="0" fontId="7" fillId="11" borderId="65" xfId="9" applyFont="1" applyFill="1" applyBorder="1" applyAlignment="1">
      <alignment horizontal="center" vertical="center"/>
    </xf>
    <xf numFmtId="0" fontId="7" fillId="11" borderId="46" xfId="9" applyFont="1" applyFill="1" applyBorder="1" applyAlignment="1">
      <alignment horizontal="center" vertical="center"/>
    </xf>
    <xf numFmtId="0" fontId="7" fillId="12" borderId="64" xfId="9" applyFont="1" applyFill="1" applyBorder="1" applyAlignment="1">
      <alignment horizontal="center" vertical="center" wrapText="1"/>
    </xf>
    <xf numFmtId="0" fontId="7" fillId="12" borderId="65" xfId="9" applyFont="1" applyFill="1" applyBorder="1" applyAlignment="1">
      <alignment horizontal="center" vertical="center" wrapText="1"/>
    </xf>
    <xf numFmtId="0" fontId="7" fillId="12" borderId="65" xfId="9" applyFont="1" applyFill="1" applyBorder="1" applyAlignment="1">
      <alignment horizontal="center" vertical="center"/>
    </xf>
    <xf numFmtId="0" fontId="7" fillId="11" borderId="64" xfId="9" applyFont="1" applyFill="1" applyBorder="1" applyAlignment="1">
      <alignment horizontal="center" vertical="center" wrapText="1"/>
    </xf>
    <xf numFmtId="0" fontId="7" fillId="11" borderId="65" xfId="9" applyFont="1" applyFill="1" applyBorder="1" applyAlignment="1">
      <alignment horizontal="center" vertical="center" wrapText="1"/>
    </xf>
    <xf numFmtId="0" fontId="7" fillId="11" borderId="66" xfId="9" applyFont="1" applyFill="1" applyBorder="1" applyAlignment="1">
      <alignment horizontal="center" vertical="center" wrapText="1"/>
    </xf>
    <xf numFmtId="0" fontId="7" fillId="10" borderId="66" xfId="9" applyFont="1" applyFill="1" applyBorder="1" applyAlignment="1">
      <alignment horizontal="center" vertical="center"/>
    </xf>
    <xf numFmtId="0" fontId="7" fillId="11" borderId="66" xfId="9" applyFont="1" applyFill="1" applyBorder="1" applyAlignment="1">
      <alignment horizontal="center" vertical="center"/>
    </xf>
    <xf numFmtId="0" fontId="7" fillId="12" borderId="64" xfId="9" applyFont="1" applyFill="1" applyBorder="1" applyAlignment="1">
      <alignment horizontal="center" vertical="center"/>
    </xf>
    <xf numFmtId="0" fontId="7" fillId="12" borderId="66" xfId="9" applyFont="1" applyFill="1" applyBorder="1" applyAlignment="1">
      <alignment horizontal="center" vertical="center"/>
    </xf>
    <xf numFmtId="0" fontId="7" fillId="5" borderId="46" xfId="9" applyFont="1" applyFill="1" applyBorder="1" applyAlignment="1">
      <alignment horizontal="center" vertical="center"/>
    </xf>
    <xf numFmtId="0" fontId="7" fillId="5" borderId="64" xfId="9" applyFont="1" applyFill="1" applyBorder="1" applyAlignment="1">
      <alignment horizontal="center" vertical="center"/>
    </xf>
    <xf numFmtId="0" fontId="7" fillId="5" borderId="65" xfId="9" applyFont="1" applyFill="1" applyBorder="1" applyAlignment="1">
      <alignment horizontal="center" vertical="center"/>
    </xf>
    <xf numFmtId="0" fontId="7" fillId="5" borderId="64" xfId="9" applyFont="1" applyFill="1" applyBorder="1" applyAlignment="1">
      <alignment horizontal="center" vertical="center" wrapText="1"/>
    </xf>
    <xf numFmtId="0" fontId="7" fillId="5" borderId="65" xfId="9" applyFont="1" applyFill="1" applyBorder="1" applyAlignment="1">
      <alignment horizontal="center" vertical="center" wrapText="1"/>
    </xf>
    <xf numFmtId="0" fontId="7" fillId="5" borderId="66" xfId="9" applyFont="1" applyFill="1" applyBorder="1" applyAlignment="1">
      <alignment horizontal="center" vertical="center"/>
    </xf>
    <xf numFmtId="0" fontId="7" fillId="5" borderId="66" xfId="9" applyFont="1" applyFill="1" applyBorder="1" applyAlignment="1">
      <alignment horizontal="center" vertical="center" wrapText="1"/>
    </xf>
    <xf numFmtId="0" fontId="7" fillId="0" borderId="64" xfId="9" applyFont="1" applyBorder="1" applyAlignment="1">
      <alignment horizontal="center" vertical="center"/>
    </xf>
    <xf numFmtId="0" fontId="7" fillId="0" borderId="65" xfId="9" applyFont="1" applyBorder="1" applyAlignment="1">
      <alignment horizontal="center" vertical="center"/>
    </xf>
    <xf numFmtId="0" fontId="7" fillId="0" borderId="66" xfId="9" applyFont="1" applyBorder="1" applyAlignment="1">
      <alignment horizontal="center" vertical="center"/>
    </xf>
    <xf numFmtId="0" fontId="7" fillId="5" borderId="46" xfId="9" applyFont="1" applyFill="1" applyBorder="1" applyAlignment="1">
      <alignment horizontal="center" vertical="center" wrapText="1"/>
    </xf>
    <xf numFmtId="0" fontId="2" fillId="2" borderId="0" xfId="20" applyFont="1" applyFill="1" applyAlignment="1">
      <alignment horizontal="center" vertical="center"/>
    </xf>
    <xf numFmtId="0" fontId="1" fillId="0" borderId="0" xfId="14" applyFont="1" applyAlignment="1">
      <alignment horizontal="center" vertical="center"/>
    </xf>
    <xf numFmtId="0" fontId="1" fillId="2" borderId="35" xfId="14" applyFont="1" applyFill="1" applyBorder="1" applyAlignment="1">
      <alignment horizontal="left" vertical="center"/>
    </xf>
    <xf numFmtId="0" fontId="1" fillId="2" borderId="36" xfId="14" applyFont="1" applyFill="1" applyBorder="1" applyAlignment="1">
      <alignment horizontal="left" vertical="center"/>
    </xf>
    <xf numFmtId="0" fontId="1" fillId="6" borderId="35" xfId="14" applyFont="1" applyFill="1" applyBorder="1" applyAlignment="1">
      <alignment horizontal="left" vertical="center"/>
    </xf>
    <xf numFmtId="0" fontId="1" fillId="6" borderId="36" xfId="14" applyFont="1" applyFill="1" applyBorder="1" applyAlignment="1">
      <alignment horizontal="left" vertical="center"/>
    </xf>
    <xf numFmtId="0" fontId="1" fillId="4" borderId="45" xfId="14" applyFont="1" applyFill="1" applyBorder="1" applyAlignment="1">
      <alignment horizontal="center" vertical="center"/>
    </xf>
    <xf numFmtId="0" fontId="1" fillId="4" borderId="46" xfId="14" applyFont="1" applyFill="1" applyBorder="1" applyAlignment="1">
      <alignment horizontal="center" vertical="center"/>
    </xf>
    <xf numFmtId="0" fontId="1" fillId="4" borderId="42" xfId="42" applyFont="1" applyFill="1" applyBorder="1" applyAlignment="1">
      <alignment horizontal="center" vertical="center"/>
    </xf>
    <xf numFmtId="0" fontId="1" fillId="4" borderId="43" xfId="42" applyFont="1" applyFill="1" applyBorder="1" applyAlignment="1">
      <alignment horizontal="center" vertical="center"/>
    </xf>
    <xf numFmtId="0" fontId="1" fillId="4" borderId="51" xfId="42" applyFont="1" applyFill="1" applyBorder="1" applyAlignment="1">
      <alignment horizontal="center" vertical="center"/>
    </xf>
    <xf numFmtId="0" fontId="1" fillId="2" borderId="35" xfId="42" applyFont="1" applyFill="1" applyBorder="1" applyAlignment="1">
      <alignment horizontal="center" vertical="center"/>
    </xf>
    <xf numFmtId="0" fontId="1" fillId="2" borderId="36" xfId="42" applyFont="1" applyFill="1" applyBorder="1" applyAlignment="1">
      <alignment horizontal="center" vertical="center"/>
    </xf>
    <xf numFmtId="0" fontId="1" fillId="2" borderId="38" xfId="42" applyFont="1" applyFill="1" applyBorder="1" applyAlignment="1">
      <alignment horizontal="center" vertical="center"/>
    </xf>
    <xf numFmtId="0" fontId="1" fillId="4" borderId="42" xfId="14" applyFont="1" applyFill="1" applyBorder="1" applyAlignment="1">
      <alignment horizontal="center" vertical="center"/>
    </xf>
    <xf numFmtId="0" fontId="1" fillId="4" borderId="52" xfId="14" applyFont="1" applyFill="1" applyBorder="1" applyAlignment="1">
      <alignment horizontal="center" vertical="center"/>
    </xf>
    <xf numFmtId="0" fontId="1" fillId="4" borderId="43" xfId="14" applyFont="1" applyFill="1" applyBorder="1" applyAlignment="1">
      <alignment horizontal="center" vertical="center"/>
    </xf>
    <xf numFmtId="0" fontId="1" fillId="4" borderId="51" xfId="14" applyFont="1" applyFill="1" applyBorder="1" applyAlignment="1">
      <alignment horizontal="center" vertical="center"/>
    </xf>
    <xf numFmtId="0" fontId="1" fillId="2" borderId="57" xfId="14" applyFont="1" applyFill="1" applyBorder="1" applyAlignment="1">
      <alignment horizontal="center" vertical="center"/>
    </xf>
    <xf numFmtId="0" fontId="1" fillId="2" borderId="58" xfId="14" applyFont="1" applyFill="1" applyBorder="1" applyAlignment="1">
      <alignment horizontal="center" vertical="center"/>
    </xf>
    <xf numFmtId="0" fontId="1" fillId="2" borderId="59" xfId="14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top" wrapText="1"/>
    </xf>
    <xf numFmtId="0" fontId="1" fillId="5" borderId="15" xfId="0" applyFont="1" applyFill="1" applyBorder="1" applyAlignment="1">
      <alignment vertical="top" wrapText="1"/>
    </xf>
    <xf numFmtId="0" fontId="1" fillId="5" borderId="53" xfId="0" applyFont="1" applyFill="1" applyBorder="1" applyAlignment="1">
      <alignment vertical="top" wrapText="1"/>
    </xf>
    <xf numFmtId="0" fontId="1" fillId="2" borderId="8" xfId="14" applyFont="1" applyFill="1" applyBorder="1" applyAlignment="1">
      <alignment horizontal="center" vertical="center" textRotation="255" wrapText="1"/>
    </xf>
    <xf numFmtId="0" fontId="1" fillId="2" borderId="16" xfId="14" applyFont="1" applyFill="1" applyBorder="1" applyAlignment="1">
      <alignment horizontal="center" vertical="center" textRotation="255" wrapText="1"/>
    </xf>
    <xf numFmtId="0" fontId="1" fillId="2" borderId="29" xfId="14" applyFont="1" applyFill="1" applyBorder="1" applyAlignment="1">
      <alignment horizontal="center" vertical="center" textRotation="255" wrapText="1"/>
    </xf>
    <xf numFmtId="0" fontId="1" fillId="2" borderId="32" xfId="14" applyFont="1" applyFill="1" applyBorder="1" applyAlignment="1">
      <alignment horizontal="center" vertical="center" textRotation="255" wrapText="1"/>
    </xf>
    <xf numFmtId="0" fontId="1" fillId="2" borderId="54" xfId="14" applyFont="1" applyFill="1" applyBorder="1" applyAlignment="1">
      <alignment horizontal="center" vertical="center" textRotation="255" wrapText="1"/>
    </xf>
    <xf numFmtId="0" fontId="1" fillId="0" borderId="22" xfId="14" applyFont="1" applyBorder="1" applyAlignment="1">
      <alignment horizontal="center" vertical="center"/>
    </xf>
    <xf numFmtId="0" fontId="1" fillId="0" borderId="24" xfId="14" applyFont="1" applyBorder="1" applyAlignment="1">
      <alignment horizontal="center" vertical="center"/>
    </xf>
    <xf numFmtId="0" fontId="1" fillId="0" borderId="9" xfId="14" applyFont="1" applyBorder="1" applyAlignment="1">
      <alignment horizontal="center" vertical="center"/>
    </xf>
    <xf numFmtId="0" fontId="1" fillId="0" borderId="24" xfId="14" applyFont="1" applyBorder="1" applyAlignment="1">
      <alignment horizontal="center" vertical="center" wrapText="1"/>
    </xf>
    <xf numFmtId="0" fontId="1" fillId="0" borderId="30" xfId="14" applyFont="1" applyBorder="1" applyAlignment="1">
      <alignment horizontal="center" vertical="center" wrapText="1"/>
    </xf>
    <xf numFmtId="0" fontId="1" fillId="0" borderId="23" xfId="14" applyFont="1" applyBorder="1" applyAlignment="1">
      <alignment horizontal="left" vertical="center" wrapText="1"/>
    </xf>
    <xf numFmtId="0" fontId="3" fillId="0" borderId="25" xfId="14" applyFont="1" applyBorder="1" applyAlignment="1">
      <alignment horizontal="left" vertical="center" wrapText="1"/>
    </xf>
    <xf numFmtId="0" fontId="1" fillId="0" borderId="25" xfId="14" applyFont="1" applyBorder="1" applyAlignment="1">
      <alignment horizontal="left" vertical="center" wrapText="1"/>
    </xf>
    <xf numFmtId="0" fontId="1" fillId="0" borderId="26" xfId="14" applyFont="1" applyBorder="1" applyAlignment="1">
      <alignment vertical="center" wrapText="1"/>
    </xf>
    <xf numFmtId="0" fontId="1" fillId="0" borderId="27" xfId="14" applyFont="1" applyBorder="1" applyAlignment="1">
      <alignment horizontal="left" vertical="center" wrapText="1"/>
    </xf>
    <xf numFmtId="0" fontId="1" fillId="0" borderId="28" xfId="14" applyFont="1" applyBorder="1" applyAlignment="1">
      <alignment horizontal="left" vertical="center" wrapText="1"/>
    </xf>
    <xf numFmtId="0" fontId="1" fillId="0" borderId="31" xfId="14" applyFont="1" applyBorder="1" applyAlignment="1">
      <alignment horizontal="left" vertical="center" wrapText="1"/>
    </xf>
    <xf numFmtId="0" fontId="1" fillId="2" borderId="47" xfId="14" applyFont="1" applyFill="1" applyBorder="1" applyAlignment="1">
      <alignment horizontal="left" vertical="center" wrapText="1"/>
    </xf>
    <xf numFmtId="0" fontId="1" fillId="2" borderId="48" xfId="14" applyFont="1" applyFill="1" applyBorder="1" applyAlignment="1">
      <alignment horizontal="left" vertical="center" wrapText="1"/>
    </xf>
    <xf numFmtId="0" fontId="1" fillId="2" borderId="21" xfId="14" applyFont="1" applyFill="1" applyBorder="1" applyAlignment="1">
      <alignment horizontal="left" vertical="center" wrapText="1"/>
    </xf>
    <xf numFmtId="0" fontId="1" fillId="2" borderId="19" xfId="14" applyFont="1" applyFill="1" applyBorder="1" applyAlignment="1">
      <alignment horizontal="left" vertical="center" wrapText="1"/>
    </xf>
    <xf numFmtId="0" fontId="1" fillId="2" borderId="35" xfId="14" applyFont="1" applyFill="1" applyBorder="1" applyAlignment="1">
      <alignment horizontal="left" vertical="center" wrapText="1"/>
    </xf>
    <xf numFmtId="0" fontId="1" fillId="2" borderId="37" xfId="14" applyFont="1" applyFill="1" applyBorder="1" applyAlignment="1">
      <alignment horizontal="left" vertical="center" wrapText="1"/>
    </xf>
    <xf numFmtId="0" fontId="1" fillId="2" borderId="0" xfId="14" applyFont="1" applyFill="1" applyAlignment="1">
      <alignment horizontal="center" vertical="center"/>
    </xf>
    <xf numFmtId="0" fontId="1" fillId="2" borderId="20" xfId="14" applyFont="1" applyFill="1" applyBorder="1" applyAlignment="1">
      <alignment horizontal="center" vertical="center"/>
    </xf>
    <xf numFmtId="0" fontId="5" fillId="0" borderId="33" xfId="14" applyFont="1" applyBorder="1" applyAlignment="1">
      <alignment horizontal="center" vertical="center"/>
    </xf>
    <xf numFmtId="0" fontId="5" fillId="0" borderId="34" xfId="14" applyFont="1" applyBorder="1" applyAlignment="1">
      <alignment horizontal="center" vertical="center"/>
    </xf>
    <xf numFmtId="0" fontId="5" fillId="0" borderId="39" xfId="14" applyFont="1" applyBorder="1" applyAlignment="1">
      <alignment horizontal="center" vertical="center"/>
    </xf>
    <xf numFmtId="0" fontId="5" fillId="0" borderId="40" xfId="14" applyFont="1" applyBorder="1" applyAlignment="1">
      <alignment horizontal="center" vertical="center"/>
    </xf>
    <xf numFmtId="0" fontId="1" fillId="2" borderId="33" xfId="14" applyFont="1" applyFill="1" applyBorder="1" applyAlignment="1">
      <alignment horizontal="left" vertical="center" wrapText="1"/>
    </xf>
    <xf numFmtId="0" fontId="1" fillId="2" borderId="34" xfId="14" applyFont="1" applyFill="1" applyBorder="1" applyAlignment="1">
      <alignment horizontal="left" vertical="center"/>
    </xf>
    <xf numFmtId="0" fontId="1" fillId="2" borderId="50" xfId="14" applyFont="1" applyFill="1" applyBorder="1" applyAlignment="1">
      <alignment horizontal="left" vertical="center"/>
    </xf>
    <xf numFmtId="0" fontId="1" fillId="2" borderId="25" xfId="14" applyFont="1" applyFill="1" applyBorder="1" applyAlignment="1">
      <alignment horizontal="left" vertical="center"/>
    </xf>
    <xf numFmtId="0" fontId="1" fillId="2" borderId="39" xfId="14" applyFont="1" applyFill="1" applyBorder="1" applyAlignment="1">
      <alignment horizontal="left" vertical="center"/>
    </xf>
    <xf numFmtId="0" fontId="1" fillId="2" borderId="40" xfId="14" applyFont="1" applyFill="1" applyBorder="1" applyAlignment="1">
      <alignment horizontal="left" vertical="center"/>
    </xf>
    <xf numFmtId="0" fontId="1" fillId="0" borderId="33" xfId="14" applyFont="1" applyBorder="1" applyAlignment="1">
      <alignment horizontal="center" vertical="center" wrapText="1"/>
    </xf>
    <xf numFmtId="0" fontId="1" fillId="0" borderId="41" xfId="14" applyFont="1" applyBorder="1" applyAlignment="1">
      <alignment horizontal="center" vertical="center" wrapText="1"/>
    </xf>
    <xf numFmtId="0" fontId="1" fillId="0" borderId="39" xfId="14" applyFont="1" applyBorder="1" applyAlignment="1">
      <alignment horizontal="center" vertical="center" wrapText="1"/>
    </xf>
    <xf numFmtId="0" fontId="1" fillId="0" borderId="36" xfId="14" applyFont="1" applyBorder="1" applyAlignment="1">
      <alignment horizontal="center" vertical="center" wrapText="1"/>
    </xf>
    <xf numFmtId="0" fontId="1" fillId="8" borderId="0" xfId="14" applyFont="1" applyFill="1" applyAlignment="1">
      <alignment horizontal="center" vertical="center"/>
    </xf>
    <xf numFmtId="0" fontId="1" fillId="4" borderId="60" xfId="42" applyFont="1" applyFill="1" applyBorder="1" applyAlignment="1">
      <alignment horizontal="center" vertical="center"/>
    </xf>
    <xf numFmtId="0" fontId="1" fillId="4" borderId="60" xfId="14" applyFont="1" applyFill="1" applyBorder="1" applyAlignment="1">
      <alignment horizontal="center" vertical="center"/>
    </xf>
    <xf numFmtId="0" fontId="1" fillId="2" borderId="61" xfId="14" applyFont="1" applyFill="1" applyBorder="1" applyAlignment="1">
      <alignment horizontal="center" vertical="center"/>
    </xf>
    <xf numFmtId="0" fontId="1" fillId="2" borderId="62" xfId="14" applyFont="1" applyFill="1" applyBorder="1" applyAlignment="1">
      <alignment horizontal="center" vertical="center"/>
    </xf>
    <xf numFmtId="0" fontId="1" fillId="2" borderId="63" xfId="14" applyFont="1" applyFill="1" applyBorder="1" applyAlignment="1">
      <alignment horizontal="center" vertical="center"/>
    </xf>
    <xf numFmtId="0" fontId="1" fillId="0" borderId="33" xfId="14" applyFont="1" applyBorder="1" applyAlignment="1">
      <alignment horizontal="center" vertical="center"/>
    </xf>
    <xf numFmtId="0" fontId="1" fillId="0" borderId="34" xfId="14" applyFont="1" applyBorder="1" applyAlignment="1">
      <alignment horizontal="center" vertical="center"/>
    </xf>
    <xf numFmtId="0" fontId="1" fillId="0" borderId="39" xfId="14" applyFont="1" applyBorder="1" applyAlignment="1">
      <alignment horizontal="center" vertical="center"/>
    </xf>
    <xf numFmtId="0" fontId="1" fillId="0" borderId="40" xfId="14" applyFont="1" applyBorder="1" applyAlignment="1">
      <alignment horizontal="center" vertical="center"/>
    </xf>
    <xf numFmtId="0" fontId="1" fillId="0" borderId="0" xfId="14" applyFont="1" applyAlignment="1">
      <alignment vertical="center"/>
    </xf>
    <xf numFmtId="0" fontId="27" fillId="0" borderId="46" xfId="9" applyFont="1" applyBorder="1" applyAlignment="1">
      <alignment horizontal="left" vertical="center" wrapText="1"/>
    </xf>
    <xf numFmtId="0" fontId="27" fillId="5" borderId="46" xfId="9" applyFont="1" applyFill="1" applyBorder="1" applyAlignment="1">
      <alignment horizontal="left" vertical="center" wrapText="1"/>
    </xf>
    <xf numFmtId="9" fontId="27" fillId="5" borderId="46" xfId="0" applyNumberFormat="1" applyFont="1" applyFill="1" applyBorder="1" applyAlignment="1">
      <alignment vertical="center" wrapText="1"/>
    </xf>
    <xf numFmtId="0" fontId="28" fillId="5" borderId="46" xfId="9" applyFont="1" applyFill="1" applyBorder="1" applyAlignment="1">
      <alignment vertical="center" wrapText="1"/>
    </xf>
  </cellXfs>
  <cellStyles count="45">
    <cellStyle name=" 3]_x000d__x000a_Zoomed=1_x000d__x000a_Row=0_x000d__x000a_Column=0_x000d__x000a_Height=300_x000d__x000a_Width=300_x000d__x000a_FontName=細明體_x000d__x000a_FontStyle=0_x000d__x000a_FontSize=9_x000d__x000a_PrtFontName=Co" xfId="2" xr:uid="{00000000-0005-0000-0000-000031000000}"/>
    <cellStyle name="_ET_STYLE_NoName_00_" xfId="3" xr:uid="{00000000-0005-0000-0000-000032000000}"/>
    <cellStyle name="百分比" xfId="1" builtinId="5"/>
    <cellStyle name="百分比 2" xfId="4" xr:uid="{00000000-0005-0000-0000-000033000000}"/>
    <cellStyle name="百分比 2 2" xfId="5" xr:uid="{00000000-0005-0000-0000-000034000000}"/>
    <cellStyle name="捠壿_guyan" xfId="6" xr:uid="{00000000-0005-0000-0000-000035000000}"/>
    <cellStyle name="常规" xfId="0" builtinId="0"/>
    <cellStyle name="常规 10" xfId="7" xr:uid="{00000000-0005-0000-0000-000036000000}"/>
    <cellStyle name="常规 11" xfId="8" xr:uid="{00000000-0005-0000-0000-000037000000}"/>
    <cellStyle name="常规 11 2" xfId="9" xr:uid="{00000000-0005-0000-0000-000038000000}"/>
    <cellStyle name="常规 11 3" xfId="10" xr:uid="{00000000-0005-0000-0000-000039000000}"/>
    <cellStyle name="常规 11 4" xfId="11" xr:uid="{00000000-0005-0000-0000-00003A000000}"/>
    <cellStyle name="常规 12" xfId="12" xr:uid="{00000000-0005-0000-0000-00003B000000}"/>
    <cellStyle name="常规 2" xfId="13" xr:uid="{00000000-0005-0000-0000-00003C000000}"/>
    <cellStyle name="常规 2 2" xfId="14" xr:uid="{00000000-0005-0000-0000-00003D000000}"/>
    <cellStyle name="常规 2 2 2" xfId="15" xr:uid="{00000000-0005-0000-0000-00003E000000}"/>
    <cellStyle name="常规 2 2 2 2" xfId="16" xr:uid="{00000000-0005-0000-0000-00003F000000}"/>
    <cellStyle name="常规 2 2 2 3" xfId="17" xr:uid="{00000000-0005-0000-0000-000040000000}"/>
    <cellStyle name="常规 2 2 3" xfId="18" xr:uid="{00000000-0005-0000-0000-000041000000}"/>
    <cellStyle name="常规 2 3" xfId="19" xr:uid="{00000000-0005-0000-0000-000042000000}"/>
    <cellStyle name="常规 3" xfId="20" xr:uid="{00000000-0005-0000-0000-000043000000}"/>
    <cellStyle name="常规 3 2" xfId="21" xr:uid="{00000000-0005-0000-0000-000044000000}"/>
    <cellStyle name="常规 3 2 2" xfId="22" xr:uid="{00000000-0005-0000-0000-000045000000}"/>
    <cellStyle name="常规 3 3" xfId="23" xr:uid="{00000000-0005-0000-0000-000046000000}"/>
    <cellStyle name="常规 3 3 2" xfId="24" xr:uid="{00000000-0005-0000-0000-000047000000}"/>
    <cellStyle name="常规 3 4" xfId="25" xr:uid="{00000000-0005-0000-0000-000048000000}"/>
    <cellStyle name="常规 3_副本营业本部" xfId="26" xr:uid="{00000000-0005-0000-0000-000049000000}"/>
    <cellStyle name="常规 36 2" xfId="27" xr:uid="{00000000-0005-0000-0000-00004A000000}"/>
    <cellStyle name="常规 4" xfId="28" xr:uid="{00000000-0005-0000-0000-00004B000000}"/>
    <cellStyle name="常规 4 4" xfId="29" xr:uid="{00000000-0005-0000-0000-00004C000000}"/>
    <cellStyle name="常规 5" xfId="30" xr:uid="{00000000-0005-0000-0000-00004D000000}"/>
    <cellStyle name="常规 6" xfId="31" xr:uid="{00000000-0005-0000-0000-00004E000000}"/>
    <cellStyle name="常规 7" xfId="32" xr:uid="{00000000-0005-0000-0000-00004F000000}"/>
    <cellStyle name="常规 7 2" xfId="33" xr:uid="{00000000-0005-0000-0000-000050000000}"/>
    <cellStyle name="常规 8" xfId="34" xr:uid="{00000000-0005-0000-0000-000051000000}"/>
    <cellStyle name="常规 9" xfId="35" xr:uid="{00000000-0005-0000-0000-000052000000}"/>
    <cellStyle name="常规 9 2" xfId="36" xr:uid="{00000000-0005-0000-0000-000053000000}"/>
    <cellStyle name="常规_岗位说明书-SDSM" xfId="37" xr:uid="{00000000-0005-0000-0000-000054000000}"/>
    <cellStyle name="常规_岗位说明书-业务岗位 (4)" xfId="38" xr:uid="{00000000-0005-0000-0000-000055000000}"/>
    <cellStyle name="常规_总部人资岗位说明书（9月23）" xfId="39" xr:uid="{00000000-0005-0000-0000-000057000000}"/>
    <cellStyle name="常规_总部人资岗位说明书（9月23） 2 2 2" xfId="40" xr:uid="{00000000-0005-0000-0000-000058000000}"/>
    <cellStyle name="常规_总部人资岗位说明书（9月23）_营业功能岗位说明书（地方）201205" xfId="41" xr:uid="{00000000-0005-0000-0000-000059000000}"/>
    <cellStyle name="常规_总部人资岗位说明书（9月23）_营业功能岗位说明书（地方）201205 2" xfId="42" xr:uid="{00000000-0005-0000-0000-00005A000000}"/>
    <cellStyle name="样式 1" xfId="43" xr:uid="{00000000-0005-0000-0000-00005B000000}"/>
    <cellStyle name="樣式 1" xfId="44" xr:uid="{00000000-0005-0000-0000-00005C000000}"/>
  </cellStyles>
  <dxfs count="0"/>
  <tableStyles count="0" defaultTableStyle="TableStyleMedium9" defaultPivotStyle="PivotStyleLight16"/>
  <colors>
    <mruColors>
      <color rgb="FF0000CC"/>
      <color rgb="FF00FF00"/>
      <color rgb="FFCC9900"/>
      <color rgb="FFDCD9E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1137319</xdr:colOff>
      <xdr:row>30</xdr:row>
      <xdr:rowOff>101465</xdr:rowOff>
    </xdr:from>
    <xdr:to>
      <xdr:col>3</xdr:col>
      <xdr:colOff>853298</xdr:colOff>
      <xdr:row>32</xdr:row>
      <xdr:rowOff>101598</xdr:rowOff>
    </xdr:to>
    <xdr:sp macro="" textlink="">
      <xdr:nvSpPr>
        <xdr:cNvPr id="8" name="Rectangl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6401435" y="8251190"/>
          <a:ext cx="902970" cy="511810"/>
        </a:xfrm>
        <a:prstGeom prst="rect">
          <a:avLst/>
        </a:prstGeom>
        <a:solidFill>
          <a:srgbClr val="FFFFFF"/>
        </a:solidFill>
        <a:ln w="6350" algn="ctr">
          <a:solidFill>
            <a:srgbClr val="000000"/>
          </a:solidFill>
          <a:miter lim="800000"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销售督导</a:t>
          </a:r>
          <a:endParaRPr lang="en-US" altLang="zh-CN" sz="1200" b="0" i="0" strike="noStrike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1016007</xdr:colOff>
      <xdr:row>27</xdr:row>
      <xdr:rowOff>57760</xdr:rowOff>
    </xdr:from>
    <xdr:to>
      <xdr:col>3</xdr:col>
      <xdr:colOff>964655</xdr:colOff>
      <xdr:row>29</xdr:row>
      <xdr:rowOff>107903</xdr:rowOff>
    </xdr:to>
    <xdr:sp macro="" textlink="">
      <xdr:nvSpPr>
        <xdr:cNvPr id="9" name="Rectangle 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>
        <a:xfrm>
          <a:off x="6280150" y="7439660"/>
          <a:ext cx="1136015" cy="561975"/>
        </a:xfrm>
        <a:prstGeom prst="rect">
          <a:avLst/>
        </a:prstGeom>
        <a:noFill/>
        <a:ln w="6350" algn="ctr">
          <a:solidFill>
            <a:srgbClr val="000000"/>
          </a:solidFill>
          <a:miter lim="800000"/>
        </a:ln>
        <a:effectLst/>
      </xdr:spPr>
      <xdr:txBody>
        <a:bodyPr vertOverflow="clip" wrap="square" lIns="91440" tIns="45720" rIns="91440" bIns="45720" anchor="ctr" upright="1"/>
        <a:lstStyle/>
        <a:p>
          <a:pPr marL="0" indent="0" algn="ctr" rtl="0">
            <a:lnSpc>
              <a:spcPts val="1300"/>
            </a:lnSpc>
            <a:defRPr sz="1000"/>
          </a:pPr>
          <a:r>
            <a:rPr lang="en-US" altLang="zh-CN" sz="1200" b="0" i="0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GM</a:t>
          </a:r>
        </a:p>
      </xdr:txBody>
    </xdr:sp>
    <xdr:clientData/>
  </xdr:twoCellAnchor>
  <xdr:twoCellAnchor>
    <xdr:from>
      <xdr:col>3</xdr:col>
      <xdr:colOff>395019</xdr:colOff>
      <xdr:row>29</xdr:row>
      <xdr:rowOff>107903</xdr:rowOff>
    </xdr:from>
    <xdr:to>
      <xdr:col>3</xdr:col>
      <xdr:colOff>399996</xdr:colOff>
      <xdr:row>30</xdr:row>
      <xdr:rowOff>101465</xdr:rowOff>
    </xdr:to>
    <xdr:cxnSp macro="">
      <xdr:nvCxnSpPr>
        <xdr:cNvPr id="10" name="AutoShap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  <a:stCxn id="8" idx="0"/>
          <a:endCxn id="9" idx="2"/>
        </xdr:cNvCxnSpPr>
      </xdr:nvCxnSpPr>
      <xdr:spPr>
        <a:xfrm rot="16200000" flipV="1">
          <a:off x="6724015" y="8124190"/>
          <a:ext cx="249555" cy="5080"/>
        </a:xfrm>
        <a:prstGeom prst="bentConnector3">
          <a:avLst>
            <a:gd name="adj1" fmla="val 50000"/>
          </a:avLst>
        </a:prstGeom>
        <a:noFill/>
        <a:ln w="6350">
          <a:solidFill>
            <a:srgbClr val="000000"/>
          </a:solidFill>
          <a:miter lim="800000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1154348</xdr:colOff>
      <xdr:row>33</xdr:row>
      <xdr:rowOff>101465</xdr:rowOff>
    </xdr:from>
    <xdr:to>
      <xdr:col>3</xdr:col>
      <xdr:colOff>924738</xdr:colOff>
      <xdr:row>34</xdr:row>
      <xdr:rowOff>174625</xdr:rowOff>
    </xdr:to>
    <xdr:sp macro="" textlink="">
      <xdr:nvSpPr>
        <xdr:cNvPr id="11" name="Rectangl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>
        <a:xfrm>
          <a:off x="6417945" y="9018905"/>
          <a:ext cx="958215" cy="329565"/>
        </a:xfrm>
        <a:prstGeom prst="rect">
          <a:avLst/>
        </a:prstGeom>
        <a:solidFill>
          <a:srgbClr val="FFFFFF"/>
        </a:solidFill>
        <a:ln w="6350" algn="ctr">
          <a:solidFill>
            <a:srgbClr val="000000"/>
          </a:solidFill>
          <a:miter lim="800000"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营业部主管</a:t>
          </a:r>
        </a:p>
      </xdr:txBody>
    </xdr:sp>
    <xdr:clientData/>
  </xdr:twoCellAnchor>
  <xdr:twoCellAnchor>
    <xdr:from>
      <xdr:col>3</xdr:col>
      <xdr:colOff>1333500</xdr:colOff>
      <xdr:row>30</xdr:row>
      <xdr:rowOff>79375</xdr:rowOff>
    </xdr:from>
    <xdr:to>
      <xdr:col>3</xdr:col>
      <xdr:colOff>2540000</xdr:colOff>
      <xdr:row>32</xdr:row>
      <xdr:rowOff>89033</xdr:rowOff>
    </xdr:to>
    <xdr:sp macro="" textlink="">
      <xdr:nvSpPr>
        <xdr:cNvPr id="18" name="Rectangl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>
        <a:xfrm>
          <a:off x="7785100" y="8229600"/>
          <a:ext cx="1206500" cy="521335"/>
        </a:xfrm>
        <a:prstGeom prst="rect">
          <a:avLst/>
        </a:prstGeom>
        <a:solidFill>
          <a:srgbClr val="FFFFFF"/>
        </a:solidFill>
        <a:ln w="6350" algn="ctr">
          <a:solidFill>
            <a:srgbClr val="000000"/>
          </a:solidFill>
          <a:miter lim="800000"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zh-CN" altLang="en-US" sz="1200" b="0" i="0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行销管理高专</a:t>
          </a:r>
        </a:p>
      </xdr:txBody>
    </xdr:sp>
    <xdr:clientData/>
  </xdr:twoCellAnchor>
  <xdr:twoCellAnchor>
    <xdr:from>
      <xdr:col>3</xdr:col>
      <xdr:colOff>952500</xdr:colOff>
      <xdr:row>31</xdr:row>
      <xdr:rowOff>95250</xdr:rowOff>
    </xdr:from>
    <xdr:to>
      <xdr:col>3</xdr:col>
      <xdr:colOff>1238250</xdr:colOff>
      <xdr:row>31</xdr:row>
      <xdr:rowOff>95250</xdr:rowOff>
    </xdr:to>
    <xdr:cxnSp macro="">
      <xdr:nvCxnSpPr>
        <xdr:cNvPr id="20" name="AutoShape 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cxnSpLocks noChangeShapeType="1"/>
        </xdr:cNvCxnSpPr>
      </xdr:nvCxnSpPr>
      <xdr:spPr>
        <a:xfrm>
          <a:off x="7404100" y="8501380"/>
          <a:ext cx="285750" cy="0"/>
        </a:xfrm>
        <a:prstGeom prst="straightConnector1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381000</xdr:colOff>
      <xdr:row>32</xdr:row>
      <xdr:rowOff>79375</xdr:rowOff>
    </xdr:from>
    <xdr:to>
      <xdr:col>3</xdr:col>
      <xdr:colOff>385977</xdr:colOff>
      <xdr:row>33</xdr:row>
      <xdr:rowOff>72937</xdr:rowOff>
    </xdr:to>
    <xdr:cxnSp macro="">
      <xdr:nvCxnSpPr>
        <xdr:cNvPr id="14" name="AutoShape 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cxnSpLocks noChangeShapeType="1"/>
        </xdr:cNvCxnSpPr>
      </xdr:nvCxnSpPr>
      <xdr:spPr>
        <a:xfrm rot="16200000" flipV="1">
          <a:off x="6710045" y="8863330"/>
          <a:ext cx="249555" cy="5080"/>
        </a:xfrm>
        <a:prstGeom prst="bentConnector3">
          <a:avLst>
            <a:gd name="adj1" fmla="val 50000"/>
          </a:avLst>
        </a:prstGeom>
        <a:noFill/>
        <a:ln w="6350">
          <a:solidFill>
            <a:srgbClr val="000000"/>
          </a:solidFill>
          <a:miter lim="800000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215902</xdr:colOff>
      <xdr:row>28</xdr:row>
      <xdr:rowOff>25400</xdr:rowOff>
    </xdr:from>
    <xdr:to>
      <xdr:col>3</xdr:col>
      <xdr:colOff>2755900</xdr:colOff>
      <xdr:row>33</xdr:row>
      <xdr:rowOff>203200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5016502" y="5715000"/>
          <a:ext cx="3778249" cy="1638300"/>
          <a:chOff x="4697279" y="7217817"/>
          <a:chExt cx="2392751" cy="582687"/>
        </a:xfrm>
      </xdr:grpSpPr>
      <xdr:sp macro="" textlink="">
        <xdr:nvSpPr>
          <xdr:cNvPr id="3" name="Rectangle 20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>
          <a:xfrm>
            <a:off x="6090706" y="7217817"/>
            <a:ext cx="999324" cy="572597"/>
          </a:xfrm>
          <a:prstGeom prst="rect">
            <a:avLst/>
          </a:prstGeom>
          <a:noFill/>
          <a:ln w="12700">
            <a:solidFill>
              <a:srgbClr val="000000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27432" tIns="18288" rIns="27432" bIns="0" anchor="ctr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zh-CN" altLang="en-US" sz="16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政企大客户经理</a:t>
            </a:r>
            <a:endParaRPr lang="zh-CN" altLang="en-US" sz="11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4" name="Rectangle 39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rrowheads="1"/>
          </xdr:cNvSpPr>
        </xdr:nvSpPr>
        <xdr:spPr>
          <a:xfrm>
            <a:off x="4697279" y="7217820"/>
            <a:ext cx="993734" cy="58268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r>
              <a:rPr lang="en-US" altLang="zh-CN" sz="16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OP</a:t>
            </a:r>
            <a:r>
              <a:rPr lang="zh-CN" altLang="en-US" sz="16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所</a:t>
            </a:r>
            <a:r>
              <a:rPr lang="en-US" altLang="zh-CN" sz="16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/</a:t>
            </a:r>
            <a:r>
              <a:rPr lang="zh-CN" altLang="en-US" sz="16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综合所长</a:t>
            </a:r>
            <a:endParaRPr lang="en-US" altLang="zh-CN" sz="1600" b="0" i="0" strike="noStrike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cxnSp macro="">
        <xdr:nvCxnSpPr>
          <xdr:cNvPr id="5" name="AutoShape 17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>
            <a:cxnSpLocks noChangeShapeType="1"/>
            <a:stCxn id="4" idx="3"/>
            <a:endCxn id="3" idx="1"/>
          </xdr:cNvCxnSpPr>
        </xdr:nvCxnSpPr>
        <xdr:spPr>
          <a:xfrm flipV="1">
            <a:off x="5691013" y="7504116"/>
            <a:ext cx="399693" cy="5046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876301</xdr:colOff>
      <xdr:row>0</xdr:row>
      <xdr:rowOff>514351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8100"/>
          <a:ext cx="1047750" cy="476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369786</xdr:colOff>
      <xdr:row>28</xdr:row>
      <xdr:rowOff>70075</xdr:rowOff>
    </xdr:from>
    <xdr:to>
      <xdr:col>3</xdr:col>
      <xdr:colOff>2275116</xdr:colOff>
      <xdr:row>33</xdr:row>
      <xdr:rowOff>3618</xdr:rowOff>
    </xdr:to>
    <xdr:grpSp>
      <xdr:nvGrpSpPr>
        <xdr:cNvPr id="8" name="组合 1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pSpPr/>
      </xdr:nvGrpSpPr>
      <xdr:grpSpPr>
        <a:xfrm>
          <a:off x="5384019" y="7118575"/>
          <a:ext cx="3089151" cy="1192204"/>
          <a:chOff x="6751357" y="7088952"/>
          <a:chExt cx="2516647" cy="1510378"/>
        </a:xfrm>
      </xdr:grpSpPr>
      <xdr:sp macro="" textlink="">
        <xdr:nvSpPr>
          <xdr:cNvPr id="9" name="Rectangle 21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>
            <a:spLocks noChangeArrowheads="1"/>
          </xdr:cNvSpPr>
        </xdr:nvSpPr>
        <xdr:spPr>
          <a:xfrm>
            <a:off x="6751357" y="7088952"/>
            <a:ext cx="1069006" cy="551224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altLang="zh-CN" sz="1200" b="0" i="0" strike="noStrike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TT</a:t>
            </a:r>
            <a:r>
              <a:rPr lang="zh-CN" altLang="en-US" sz="1200" b="0" i="0" strike="noStrike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所长</a:t>
            </a:r>
            <a:endParaRPr lang="en-US" altLang="zh-CN" sz="1200" b="0" i="0" strike="noStrike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ctr" rtl="0">
              <a:lnSpc>
                <a:spcPts val="1300"/>
              </a:lnSpc>
              <a:defRPr sz="1000"/>
            </a:pPr>
            <a:r>
              <a:rPr lang="zh-CN" altLang="en-US" sz="1200" b="0" i="0" strike="noStrike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（综合所优先）</a:t>
            </a:r>
            <a:endParaRPr lang="en-US" altLang="zh-CN" sz="1200" b="0" i="0" strike="noStrike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0" name="Rectangle 21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>
            <a:spLocks noChangeArrowheads="1"/>
          </xdr:cNvSpPr>
        </xdr:nvSpPr>
        <xdr:spPr>
          <a:xfrm>
            <a:off x="6763548" y="8042531"/>
            <a:ext cx="1069006" cy="551224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r>
              <a:rPr lang="zh-CN" altLang="en-US" sz="12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特通开发业代</a:t>
            </a:r>
          </a:p>
        </xdr:txBody>
      </xdr:sp>
      <xdr:sp macro="" textlink="">
        <xdr:nvSpPr>
          <xdr:cNvPr id="11" name="Rectangle 21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>
            <a:spLocks noChangeArrowheads="1"/>
          </xdr:cNvSpPr>
        </xdr:nvSpPr>
        <xdr:spPr>
          <a:xfrm>
            <a:off x="8176568" y="8045414"/>
            <a:ext cx="1091436" cy="553916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其他业代</a:t>
            </a:r>
          </a:p>
        </xdr:txBody>
      </xdr:sp>
      <xdr:cxnSp macro="">
        <xdr:nvCxnSpPr>
          <xdr:cNvPr id="12" name="肘形连接符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CxnSpPr>
            <a:stCxn id="10" idx="3"/>
            <a:endCxn id="11" idx="1"/>
          </xdr:cNvCxnSpPr>
        </xdr:nvCxnSpPr>
        <xdr:spPr>
          <a:xfrm>
            <a:off x="7832554" y="8318143"/>
            <a:ext cx="344014" cy="4229"/>
          </a:xfrm>
          <a:prstGeom prst="bentConnector3">
            <a:avLst>
              <a:gd name="adj1" fmla="val 50000"/>
            </a:avLst>
          </a:prstGeom>
          <a:ln w="1905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肘形连接符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CxnSpPr>
            <a:stCxn id="10" idx="0"/>
            <a:endCxn id="9" idx="2"/>
          </xdr:cNvCxnSpPr>
        </xdr:nvCxnSpPr>
        <xdr:spPr>
          <a:xfrm rot="16200000" flipV="1">
            <a:off x="7090778" y="7835258"/>
            <a:ext cx="402355" cy="12191"/>
          </a:xfrm>
          <a:prstGeom prst="bentConnector3">
            <a:avLst>
              <a:gd name="adj1" fmla="val 50000"/>
            </a:avLst>
          </a:prstGeom>
          <a:ln w="19050">
            <a:solidFill>
              <a:sysClr val="windowText" lastClr="00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987540</xdr:colOff>
      <xdr:row>27</xdr:row>
      <xdr:rowOff>142871</xdr:rowOff>
    </xdr:from>
    <xdr:to>
      <xdr:col>3</xdr:col>
      <xdr:colOff>2244839</xdr:colOff>
      <xdr:row>32</xdr:row>
      <xdr:rowOff>152954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6042140" y="7000871"/>
          <a:ext cx="2444750" cy="1280083"/>
          <a:chOff x="6763548" y="6991288"/>
          <a:chExt cx="2504456" cy="1608042"/>
        </a:xfrm>
      </xdr:grpSpPr>
      <xdr:sp macro="" textlink="">
        <xdr:nvSpPr>
          <xdr:cNvPr id="3" name="Rectangle 21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SpPr>
            <a:spLocks noChangeArrowheads="1"/>
          </xdr:cNvSpPr>
        </xdr:nvSpPr>
        <xdr:spPr>
          <a:xfrm>
            <a:off x="6787911" y="6991288"/>
            <a:ext cx="1152822" cy="681965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/>
            <a:r>
              <a:rPr lang="en-US" altLang="zh-CN" sz="1100" b="0" i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TT</a:t>
            </a:r>
            <a:r>
              <a:rPr lang="zh-CN" altLang="zh-CN" sz="1100" b="0" i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所长</a:t>
            </a:r>
            <a:endParaRPr lang="zh-CN" altLang="zh-CN" sz="120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ctr" rtl="0"/>
            <a:r>
              <a:rPr lang="zh-CN" altLang="zh-CN" sz="1100" b="0" i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（餐饮</a:t>
            </a:r>
            <a:r>
              <a:rPr lang="en-US" altLang="zh-CN" sz="1100" b="0" i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A</a:t>
            </a:r>
            <a:r>
              <a:rPr lang="zh-CN" altLang="zh-CN" sz="1100" b="0" i="0"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所优先）</a:t>
            </a:r>
            <a:endParaRPr lang="zh-CN" altLang="zh-CN" sz="1200"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4" name="Rectangle 21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>
            <a:spLocks noChangeArrowheads="1"/>
          </xdr:cNvSpPr>
        </xdr:nvSpPr>
        <xdr:spPr>
          <a:xfrm>
            <a:off x="6763548" y="8042531"/>
            <a:ext cx="1208376" cy="553916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r>
              <a:rPr lang="zh-CN" altLang="en-US" sz="12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餐饮管理业代</a:t>
            </a:r>
          </a:p>
        </xdr:txBody>
      </xdr:sp>
      <xdr:sp macro="" textlink="">
        <xdr:nvSpPr>
          <xdr:cNvPr id="5" name="Rectangle 21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>
            <a:spLocks noChangeArrowheads="1"/>
          </xdr:cNvSpPr>
        </xdr:nvSpPr>
        <xdr:spPr>
          <a:xfrm>
            <a:off x="8176568" y="8045414"/>
            <a:ext cx="1091436" cy="553916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其他业代</a:t>
            </a:r>
          </a:p>
        </xdr:txBody>
      </xdr:sp>
      <xdr:cxnSp macro="">
        <xdr:nvCxnSpPr>
          <xdr:cNvPr id="6" name="肘形连接符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CxnSpPr>
            <a:stCxn id="5" idx="1"/>
            <a:endCxn id="4" idx="3"/>
          </xdr:cNvCxnSpPr>
        </xdr:nvCxnSpPr>
        <xdr:spPr>
          <a:xfrm rot="10800000">
            <a:off x="7971925" y="8319491"/>
            <a:ext cx="204644" cy="2882"/>
          </a:xfrm>
          <a:prstGeom prst="bentConnector3">
            <a:avLst>
              <a:gd name="adj1" fmla="val 50000"/>
            </a:avLst>
          </a:prstGeom>
          <a:ln w="1905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肘形连接符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CxnSpPr>
            <a:stCxn id="4" idx="0"/>
            <a:endCxn id="3" idx="2"/>
          </xdr:cNvCxnSpPr>
        </xdr:nvCxnSpPr>
        <xdr:spPr>
          <a:xfrm rot="16200000" flipV="1">
            <a:off x="7181391" y="7856185"/>
            <a:ext cx="369278" cy="3414"/>
          </a:xfrm>
          <a:prstGeom prst="bentConnector3">
            <a:avLst>
              <a:gd name="adj1" fmla="val 50000"/>
            </a:avLst>
          </a:prstGeom>
          <a:ln w="19050">
            <a:solidFill>
              <a:sysClr val="windowText" lastClr="00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785817</xdr:colOff>
      <xdr:row>28</xdr:row>
      <xdr:rowOff>66676</xdr:rowOff>
    </xdr:from>
    <xdr:to>
      <xdr:col>3</xdr:col>
      <xdr:colOff>2562229</xdr:colOff>
      <xdr:row>32</xdr:row>
      <xdr:rowOff>209472</xdr:rowOff>
    </xdr:to>
    <xdr:grpSp>
      <xdr:nvGrpSpPr>
        <xdr:cNvPr id="1321001" name="组合 1">
          <a:extLst>
            <a:ext uri="{FF2B5EF4-FFF2-40B4-BE49-F238E27FC236}">
              <a16:creationId xmlns:a16="http://schemas.microsoft.com/office/drawing/2014/main" id="{00000000-0008-0000-1300-000029281400}"/>
            </a:ext>
          </a:extLst>
        </xdr:cNvPr>
        <xdr:cNvGrpSpPr/>
      </xdr:nvGrpSpPr>
      <xdr:grpSpPr>
        <a:xfrm>
          <a:off x="6208717" y="7178676"/>
          <a:ext cx="2963863" cy="1158796"/>
          <a:chOff x="6763548" y="7119337"/>
          <a:chExt cx="2504456" cy="1464801"/>
        </a:xfrm>
      </xdr:grpSpPr>
      <xdr:sp macro="" textlink="">
        <xdr:nvSpPr>
          <xdr:cNvPr id="3" name="Rectangle 21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SpPr>
            <a:spLocks noChangeArrowheads="1"/>
          </xdr:cNvSpPr>
        </xdr:nvSpPr>
        <xdr:spPr>
          <a:xfrm>
            <a:off x="6803745" y="7119337"/>
            <a:ext cx="1131027" cy="553916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altLang="zh-CN" sz="1200" b="0" i="0" strike="noStrike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TT</a:t>
            </a:r>
            <a:r>
              <a:rPr lang="zh-CN" altLang="en-US" sz="1200" b="0" i="0" strike="noStrike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所长</a:t>
            </a:r>
            <a:endParaRPr lang="en-US" altLang="zh-CN" sz="1200" b="0" i="0" strike="noStrike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ctr" rtl="0">
              <a:lnSpc>
                <a:spcPts val="1300"/>
              </a:lnSpc>
              <a:defRPr sz="1000"/>
            </a:pPr>
            <a:r>
              <a:rPr lang="zh-CN" altLang="en-US" sz="1200" b="0" i="0" strike="noStrike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（批发所优先）</a:t>
            </a:r>
            <a:endParaRPr lang="en-US" altLang="zh-CN" sz="1200" b="0" i="0" strike="noStrike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4" name="Rectangle 21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>
            <a:spLocks noChangeArrowheads="1"/>
          </xdr:cNvSpPr>
        </xdr:nvSpPr>
        <xdr:spPr>
          <a:xfrm>
            <a:off x="6763548" y="8030222"/>
            <a:ext cx="1208376" cy="553916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defRPr sz="1000"/>
            </a:pPr>
            <a:r>
              <a:rPr lang="zh-CN" altLang="en-US" sz="1200" b="0" i="0" strike="noStrike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批发管理业代</a:t>
            </a:r>
          </a:p>
        </xdr:txBody>
      </xdr:sp>
      <xdr:sp macro="" textlink="">
        <xdr:nvSpPr>
          <xdr:cNvPr id="5" name="Rectangle 21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>
            <a:spLocks noChangeArrowheads="1"/>
          </xdr:cNvSpPr>
        </xdr:nvSpPr>
        <xdr:spPr>
          <a:xfrm>
            <a:off x="8176568" y="8030220"/>
            <a:ext cx="1091436" cy="553916"/>
          </a:xfrm>
          <a:prstGeom prst="rect">
            <a:avLst/>
          </a:prstGeom>
          <a:noFill/>
          <a:ln w="19050" algn="ctr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0" anchor="ctr" upright="1"/>
          <a:lstStyle/>
          <a:p>
            <a:pPr algn="ctr" rtl="0">
              <a:lnSpc>
                <a:spcPts val="1400"/>
              </a:lnSpc>
              <a:defRPr sz="1000"/>
            </a:pPr>
            <a:r>
              <a:rPr lang="zh-CN" altLang="en-US" sz="1200" b="0" i="0" u="none" strike="noStrike" baseline="0">
                <a:solidFill>
                  <a:sysClr val="windowText" lastClr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其他业代</a:t>
            </a:r>
          </a:p>
        </xdr:txBody>
      </xdr:sp>
      <xdr:cxnSp macro="">
        <xdr:nvCxnSpPr>
          <xdr:cNvPr id="6" name="肘形连接符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>
            <a:stCxn id="5" idx="1"/>
            <a:endCxn id="4" idx="3"/>
          </xdr:cNvCxnSpPr>
        </xdr:nvCxnSpPr>
        <xdr:spPr>
          <a:xfrm rot="10800000" flipV="1">
            <a:off x="7971924" y="8307178"/>
            <a:ext cx="204644" cy="3"/>
          </a:xfrm>
          <a:prstGeom prst="bentConnector3">
            <a:avLst>
              <a:gd name="adj1" fmla="val 50000"/>
            </a:avLst>
          </a:prstGeom>
          <a:ln w="1905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肘形连接符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CxnSpPr>
            <a:stCxn id="4" idx="0"/>
            <a:endCxn id="3" idx="2"/>
          </xdr:cNvCxnSpPr>
        </xdr:nvCxnSpPr>
        <xdr:spPr>
          <a:xfrm rot="5400000" flipH="1" flipV="1">
            <a:off x="7190014" y="7850977"/>
            <a:ext cx="356968" cy="1523"/>
          </a:xfrm>
          <a:prstGeom prst="bentConnector3">
            <a:avLst>
              <a:gd name="adj1" fmla="val 50000"/>
            </a:avLst>
          </a:prstGeom>
          <a:ln w="19050">
            <a:solidFill>
              <a:sysClr val="windowText" lastClr="000000"/>
            </a:solidFill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pple\Desktop\Users\liuliumei\Desktop\BF3F64B1\&#20154;&#36164;&#26412;&#3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人资本部主管"/>
      <sheetName val="人事行政组主管"/>
      <sheetName val="人事行政组行销行政"/>
      <sheetName val="人事行政组生产行政"/>
      <sheetName val="人事行政组薪资保险考核"/>
      <sheetName val="人事行政组境外管理"/>
      <sheetName val="员工关系组员工关系专员"/>
      <sheetName val="人力发展组组织规划"/>
      <sheetName val="人力发展人才开发"/>
      <sheetName val="人力发展组训练专员"/>
      <sheetName val="人事行政组查核"/>
      <sheetName val="人力发展组主管"/>
      <sheetName val="人力发展组人力发展规划专员"/>
      <sheetName val="Sheet1"/>
      <sheetName val="Sheet2"/>
      <sheetName val="Sheet3"/>
      <sheetName val="执行明细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H36"/>
  <sheetViews>
    <sheetView showGridLines="0" zoomScale="80" zoomScaleNormal="80" workbookViewId="0">
      <selection activeCell="A6" sqref="A6:A19"/>
    </sheetView>
  </sheetViews>
  <sheetFormatPr defaultColWidth="9" defaultRowHeight="18" customHeight="1"/>
  <cols>
    <col min="1" max="1" width="58.5" style="3" customWidth="1"/>
    <col min="2" max="2" width="10.5625" style="3" customWidth="1"/>
    <col min="3" max="3" width="15.5625" style="3" customWidth="1"/>
    <col min="4" max="4" width="40.5625" style="3" customWidth="1"/>
    <col min="5" max="8" width="15.5625" style="3" customWidth="1"/>
    <col min="9" max="16384" width="9" style="3"/>
  </cols>
  <sheetData>
    <row r="1" spans="1:8" ht="20.2" customHeight="1"/>
    <row r="2" spans="1:8" ht="20.2" customHeight="1">
      <c r="A2" s="177" t="s">
        <v>0</v>
      </c>
      <c r="B2" s="178"/>
      <c r="C2" s="178"/>
      <c r="D2" s="178"/>
      <c r="E2" s="178"/>
      <c r="F2" s="178"/>
      <c r="G2" s="178"/>
      <c r="H2" s="178"/>
    </row>
    <row r="3" spans="1:8" s="176" customFormat="1" ht="20.2" customHeight="1">
      <c r="A3" s="179" t="s">
        <v>1</v>
      </c>
      <c r="B3" s="180"/>
      <c r="C3" s="181"/>
      <c r="D3" s="181"/>
      <c r="E3" s="180" t="s">
        <v>2</v>
      </c>
      <c r="F3" s="226" t="s">
        <v>3</v>
      </c>
      <c r="G3" s="227" t="s">
        <v>4</v>
      </c>
      <c r="H3" s="227" t="s">
        <v>5</v>
      </c>
    </row>
    <row r="4" spans="1:8" s="56" customFormat="1" ht="20.2" customHeight="1">
      <c r="A4" s="8"/>
      <c r="B4" s="182"/>
      <c r="C4" s="182"/>
      <c r="D4" s="182"/>
      <c r="E4" s="182"/>
      <c r="F4" s="182"/>
      <c r="G4" s="182"/>
      <c r="H4" s="182"/>
    </row>
    <row r="5" spans="1:8" s="56" customFormat="1" ht="20.2" customHeight="1">
      <c r="A5" s="10" t="s">
        <v>6</v>
      </c>
      <c r="B5" s="183" t="s">
        <v>7</v>
      </c>
      <c r="C5" s="184"/>
      <c r="D5" s="185"/>
      <c r="E5" s="184" t="s">
        <v>8</v>
      </c>
      <c r="F5" s="184"/>
      <c r="G5" s="186"/>
      <c r="H5" s="187" t="s">
        <v>9</v>
      </c>
    </row>
    <row r="6" spans="1:8" s="56" customFormat="1" ht="20.2" customHeight="1">
      <c r="A6" s="252" t="s">
        <v>10</v>
      </c>
      <c r="B6" s="257" t="s">
        <v>11</v>
      </c>
      <c r="C6" s="188" t="s">
        <v>12</v>
      </c>
      <c r="D6" s="189" t="s">
        <v>13</v>
      </c>
      <c r="E6" s="190"/>
      <c r="F6" s="191"/>
      <c r="G6" s="192"/>
      <c r="H6" s="193"/>
    </row>
    <row r="7" spans="1:8" s="56" customFormat="1" ht="19.5" customHeight="1">
      <c r="A7" s="253"/>
      <c r="B7" s="258"/>
      <c r="C7" s="194" t="s">
        <v>14</v>
      </c>
      <c r="D7" s="195" t="s">
        <v>15</v>
      </c>
      <c r="E7" s="196" t="s">
        <v>16</v>
      </c>
      <c r="G7" s="197"/>
      <c r="H7" s="198"/>
    </row>
    <row r="8" spans="1:8" s="56" customFormat="1" ht="20.2" customHeight="1">
      <c r="A8" s="253"/>
      <c r="B8" s="258"/>
      <c r="C8" s="194" t="s">
        <v>17</v>
      </c>
      <c r="D8" s="199" t="s">
        <v>18</v>
      </c>
      <c r="E8" s="196" t="s">
        <v>19</v>
      </c>
      <c r="G8" s="197"/>
      <c r="H8" s="198">
        <v>32</v>
      </c>
    </row>
    <row r="9" spans="1:8" s="56" customFormat="1" ht="20.2" customHeight="1">
      <c r="A9" s="253"/>
      <c r="B9" s="258"/>
      <c r="C9" s="200" t="s">
        <v>20</v>
      </c>
      <c r="D9" s="201" t="s">
        <v>21</v>
      </c>
      <c r="E9" s="196" t="s">
        <v>22</v>
      </c>
      <c r="F9" s="8"/>
      <c r="G9" s="202"/>
      <c r="H9" s="198">
        <v>32</v>
      </c>
    </row>
    <row r="10" spans="1:8" s="56" customFormat="1" ht="20.2" customHeight="1">
      <c r="A10" s="253"/>
      <c r="B10" s="258"/>
      <c r="C10" s="266" t="s">
        <v>23</v>
      </c>
      <c r="D10" s="271" t="s">
        <v>24</v>
      </c>
      <c r="E10" s="203"/>
      <c r="F10" s="8"/>
      <c r="G10" s="202"/>
      <c r="H10" s="198"/>
    </row>
    <row r="11" spans="1:8" s="56" customFormat="1" ht="20.2" customHeight="1">
      <c r="A11" s="253"/>
      <c r="B11" s="258"/>
      <c r="C11" s="267"/>
      <c r="D11" s="271"/>
      <c r="E11" s="196" t="s">
        <v>25</v>
      </c>
      <c r="G11" s="197"/>
      <c r="H11" s="198"/>
    </row>
    <row r="12" spans="1:8" s="56" customFormat="1" ht="20.2" customHeight="1">
      <c r="A12" s="253"/>
      <c r="B12" s="258"/>
      <c r="C12" s="267"/>
      <c r="D12" s="272" t="s">
        <v>26</v>
      </c>
      <c r="E12" s="196" t="s">
        <v>27</v>
      </c>
      <c r="G12" s="197"/>
      <c r="H12" s="198">
        <v>8</v>
      </c>
    </row>
    <row r="13" spans="1:8" s="56" customFormat="1" ht="20.2" customHeight="1">
      <c r="A13" s="253"/>
      <c r="B13" s="258"/>
      <c r="C13" s="267"/>
      <c r="D13" s="272"/>
      <c r="E13" s="196" t="s">
        <v>28</v>
      </c>
      <c r="G13" s="197"/>
      <c r="H13" s="198">
        <v>8</v>
      </c>
    </row>
    <row r="14" spans="1:8" s="56" customFormat="1" ht="20.2" customHeight="1">
      <c r="A14" s="253"/>
      <c r="B14" s="258"/>
      <c r="C14" s="268"/>
      <c r="D14" s="272"/>
      <c r="E14" s="196" t="s">
        <v>29</v>
      </c>
      <c r="G14" s="197"/>
      <c r="H14" s="198">
        <v>8</v>
      </c>
    </row>
    <row r="15" spans="1:8" s="56" customFormat="1" ht="24" customHeight="1">
      <c r="A15" s="253"/>
      <c r="B15" s="258"/>
      <c r="C15" s="188" t="s">
        <v>30</v>
      </c>
      <c r="D15" s="204" t="s">
        <v>31</v>
      </c>
      <c r="E15" s="196" t="s">
        <v>32</v>
      </c>
      <c r="G15" s="197"/>
      <c r="H15" s="198">
        <v>8</v>
      </c>
    </row>
    <row r="16" spans="1:8" s="56" customFormat="1" ht="31.5" customHeight="1">
      <c r="A16" s="253"/>
      <c r="B16" s="258"/>
      <c r="C16" s="269" t="s">
        <v>33</v>
      </c>
      <c r="D16" s="273" t="s">
        <v>34</v>
      </c>
      <c r="E16" s="196" t="s">
        <v>35</v>
      </c>
      <c r="G16" s="197"/>
      <c r="H16" s="198">
        <v>8</v>
      </c>
    </row>
    <row r="17" spans="1:8" s="56" customFormat="1" ht="31.5" customHeight="1">
      <c r="A17" s="253"/>
      <c r="B17" s="258"/>
      <c r="C17" s="269"/>
      <c r="D17" s="274"/>
      <c r="E17" s="196" t="s">
        <v>36</v>
      </c>
      <c r="G17" s="197"/>
      <c r="H17" s="198">
        <v>8</v>
      </c>
    </row>
    <row r="18" spans="1:8" s="56" customFormat="1" ht="31.5" customHeight="1">
      <c r="A18" s="253"/>
      <c r="B18" s="259"/>
      <c r="C18" s="270"/>
      <c r="D18" s="275"/>
      <c r="E18" s="203"/>
      <c r="F18" s="8"/>
      <c r="G18" s="202"/>
      <c r="H18" s="198"/>
    </row>
    <row r="19" spans="1:8" s="56" customFormat="1" ht="20.2" customHeight="1">
      <c r="A19" s="253"/>
      <c r="B19" s="260" t="s">
        <v>37</v>
      </c>
      <c r="C19" s="286" t="s">
        <v>38</v>
      </c>
      <c r="D19" s="287"/>
      <c r="E19" s="231"/>
      <c r="F19" s="232"/>
      <c r="G19" s="205"/>
      <c r="H19" s="206"/>
    </row>
    <row r="20" spans="1:8" s="56" customFormat="1" ht="20.2" customHeight="1">
      <c r="B20" s="261"/>
      <c r="C20" s="288"/>
      <c r="D20" s="289"/>
      <c r="E20" s="233" t="s">
        <v>39</v>
      </c>
      <c r="F20" s="234"/>
      <c r="G20" s="207"/>
      <c r="H20" s="208">
        <f>SUM(H6:H19)</f>
        <v>112</v>
      </c>
    </row>
    <row r="21" spans="1:8" s="56" customFormat="1" ht="20.2" customHeight="1">
      <c r="B21" s="262" t="s">
        <v>40</v>
      </c>
      <c r="C21" s="282" t="s">
        <v>41</v>
      </c>
      <c r="D21" s="283"/>
      <c r="E21" s="209" t="s">
        <v>42</v>
      </c>
      <c r="F21" s="210"/>
      <c r="G21" s="210"/>
      <c r="H21" s="211"/>
    </row>
    <row r="22" spans="1:8" s="56" customFormat="1" ht="20.2" customHeight="1">
      <c r="A22" s="212"/>
      <c r="B22" s="263"/>
      <c r="C22" s="284"/>
      <c r="D22" s="285"/>
      <c r="E22" s="235" t="s">
        <v>43</v>
      </c>
      <c r="F22" s="236"/>
      <c r="G22" s="236" t="s">
        <v>44</v>
      </c>
      <c r="H22" s="237"/>
    </row>
    <row r="23" spans="1:8" s="56" customFormat="1" ht="20.2" customHeight="1">
      <c r="A23" s="213" t="s">
        <v>45</v>
      </c>
      <c r="B23" s="264" t="s">
        <v>46</v>
      </c>
      <c r="C23" s="276" t="s">
        <v>47</v>
      </c>
      <c r="D23" s="277"/>
      <c r="E23" s="292" t="s">
        <v>48</v>
      </c>
      <c r="F23" s="293"/>
      <c r="G23" s="298" t="s">
        <v>49</v>
      </c>
      <c r="H23" s="299"/>
    </row>
    <row r="24" spans="1:8" s="56" customFormat="1" ht="20.2" customHeight="1">
      <c r="A24" s="254" t="s">
        <v>50</v>
      </c>
      <c r="B24" s="258"/>
      <c r="C24" s="278"/>
      <c r="D24" s="279"/>
      <c r="E24" s="294"/>
      <c r="F24" s="295"/>
      <c r="G24" s="300"/>
      <c r="H24" s="301"/>
    </row>
    <row r="25" spans="1:8" s="56" customFormat="1" ht="20.2" customHeight="1">
      <c r="A25" s="255"/>
      <c r="B25" s="258"/>
      <c r="C25" s="278"/>
      <c r="D25" s="279"/>
      <c r="E25" s="294"/>
      <c r="F25" s="295"/>
      <c r="G25" s="300"/>
      <c r="H25" s="301"/>
    </row>
    <row r="26" spans="1:8" s="56" customFormat="1" ht="20.2" customHeight="1">
      <c r="A26" s="255"/>
      <c r="B26" s="258"/>
      <c r="C26" s="278"/>
      <c r="D26" s="279"/>
      <c r="E26" s="296"/>
      <c r="F26" s="297"/>
      <c r="G26" s="302"/>
      <c r="H26" s="303"/>
    </row>
    <row r="27" spans="1:8" s="56" customFormat="1" ht="20.2" customHeight="1">
      <c r="A27" s="255"/>
      <c r="B27" s="259"/>
      <c r="C27" s="280"/>
      <c r="D27" s="281"/>
      <c r="E27" s="238" t="s">
        <v>51</v>
      </c>
      <c r="F27" s="239"/>
      <c r="G27" s="239"/>
      <c r="H27" s="240"/>
    </row>
    <row r="28" spans="1:8" s="56" customFormat="1" ht="20.2" customHeight="1">
      <c r="A28" s="255"/>
      <c r="B28" s="264" t="s">
        <v>52</v>
      </c>
      <c r="C28" s="215"/>
      <c r="D28" s="216"/>
      <c r="E28" s="241" t="s">
        <v>53</v>
      </c>
      <c r="F28" s="242"/>
      <c r="G28" s="242"/>
      <c r="H28" s="243"/>
    </row>
    <row r="29" spans="1:8" s="56" customFormat="1" ht="20.2" customHeight="1">
      <c r="A29" s="255"/>
      <c r="B29" s="258"/>
      <c r="C29" s="214"/>
      <c r="D29" s="217"/>
      <c r="E29" s="244" t="s">
        <v>54</v>
      </c>
      <c r="F29" s="245"/>
      <c r="G29" s="239" t="s">
        <v>55</v>
      </c>
      <c r="H29" s="246"/>
    </row>
    <row r="30" spans="1:8" s="56" customFormat="1" ht="20.2" customHeight="1">
      <c r="A30" s="255"/>
      <c r="B30" s="258"/>
      <c r="C30" s="218"/>
      <c r="E30" s="203" t="s">
        <v>56</v>
      </c>
      <c r="F30" s="219"/>
      <c r="G30" s="290" t="s">
        <v>57</v>
      </c>
      <c r="H30" s="291"/>
    </row>
    <row r="31" spans="1:8" s="56" customFormat="1" ht="20.2" customHeight="1">
      <c r="A31" s="255"/>
      <c r="B31" s="258"/>
      <c r="C31" s="218"/>
      <c r="D31" s="217"/>
      <c r="E31" s="220" t="s">
        <v>58</v>
      </c>
      <c r="F31" s="221"/>
      <c r="G31" s="290"/>
      <c r="H31" s="291"/>
    </row>
    <row r="32" spans="1:8" s="56" customFormat="1" ht="20.2" customHeight="1">
      <c r="A32" s="255"/>
      <c r="B32" s="258"/>
      <c r="C32" s="218"/>
      <c r="D32" s="217"/>
      <c r="E32" s="203" t="s">
        <v>59</v>
      </c>
      <c r="F32" s="221"/>
      <c r="G32" s="290"/>
      <c r="H32" s="291"/>
    </row>
    <row r="33" spans="1:8" s="56" customFormat="1" ht="20.2" customHeight="1">
      <c r="A33" s="255"/>
      <c r="B33" s="258"/>
      <c r="C33" s="218"/>
      <c r="D33" s="217"/>
      <c r="E33" s="222" t="s">
        <v>60</v>
      </c>
      <c r="F33" s="223"/>
      <c r="G33" s="290"/>
      <c r="H33" s="291"/>
    </row>
    <row r="34" spans="1:8" s="56" customFormat="1" ht="20.2" customHeight="1">
      <c r="A34" s="255"/>
      <c r="B34" s="258"/>
      <c r="C34" s="218"/>
      <c r="D34" s="217"/>
      <c r="E34" s="244" t="s">
        <v>61</v>
      </c>
      <c r="F34" s="247"/>
      <c r="G34" s="247"/>
      <c r="H34" s="248"/>
    </row>
    <row r="35" spans="1:8" s="56" customFormat="1" ht="20.2" customHeight="1">
      <c r="A35" s="256"/>
      <c r="B35" s="265"/>
      <c r="C35" s="224"/>
      <c r="D35" s="225"/>
      <c r="E35" s="249" t="s">
        <v>62</v>
      </c>
      <c r="F35" s="250"/>
      <c r="G35" s="250"/>
      <c r="H35" s="251"/>
    </row>
    <row r="36" spans="1:8" s="56" customFormat="1" ht="20.2" customHeight="1">
      <c r="A36" s="56" t="s">
        <v>63</v>
      </c>
      <c r="C36" s="56" t="s">
        <v>64</v>
      </c>
      <c r="E36" s="56" t="s">
        <v>65</v>
      </c>
    </row>
  </sheetData>
  <mergeCells count="28">
    <mergeCell ref="C23:D27"/>
    <mergeCell ref="C21:D22"/>
    <mergeCell ref="C19:D20"/>
    <mergeCell ref="G30:H33"/>
    <mergeCell ref="E23:F26"/>
    <mergeCell ref="G23:H26"/>
    <mergeCell ref="C10:C14"/>
    <mergeCell ref="C16:C18"/>
    <mergeCell ref="D10:D11"/>
    <mergeCell ref="D12:D14"/>
    <mergeCell ref="D16:D18"/>
    <mergeCell ref="A6:A19"/>
    <mergeCell ref="A24:A35"/>
    <mergeCell ref="B6:B18"/>
    <mergeCell ref="B19:B20"/>
    <mergeCell ref="B21:B22"/>
    <mergeCell ref="B23:B27"/>
    <mergeCell ref="B28:B35"/>
    <mergeCell ref="E28:H28"/>
    <mergeCell ref="E29:F29"/>
    <mergeCell ref="G29:H29"/>
    <mergeCell ref="E34:H34"/>
    <mergeCell ref="E35:H35"/>
    <mergeCell ref="E19:F19"/>
    <mergeCell ref="E20:F20"/>
    <mergeCell ref="E22:F22"/>
    <mergeCell ref="G22:H22"/>
    <mergeCell ref="E27:H27"/>
  </mergeCells>
  <phoneticPr fontId="26" type="noConversion"/>
  <pageMargins left="0.70763888888888904" right="0.70763888888888904" top="0.74791666666666701" bottom="0.74791666666666701" header="0.31388888888888899" footer="0.31388888888888899"/>
  <pageSetup paperSize="9" scale="6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H36"/>
  <sheetViews>
    <sheetView showGridLines="0" zoomScale="75" zoomScaleNormal="75" workbookViewId="0">
      <selection activeCell="D42" sqref="D42"/>
    </sheetView>
  </sheetViews>
  <sheetFormatPr defaultColWidth="9" defaultRowHeight="16.149999999999999"/>
  <cols>
    <col min="1" max="1" width="53.25" style="124" customWidth="1"/>
    <col min="2" max="2" width="9.75" style="124" customWidth="1"/>
    <col min="3" max="3" width="16.25" style="124" customWidth="1"/>
    <col min="4" max="4" width="40.5625" style="124" customWidth="1"/>
    <col min="5" max="8" width="15.5625" style="124" customWidth="1"/>
    <col min="9" max="256" width="9" style="124"/>
    <col min="257" max="257" width="60.5625" style="124" customWidth="1"/>
    <col min="258" max="258" width="10.5625" style="124" customWidth="1"/>
    <col min="259" max="259" width="15.5625" style="124" customWidth="1"/>
    <col min="260" max="260" width="40.5625" style="124" customWidth="1"/>
    <col min="261" max="264" width="15.5625" style="124" customWidth="1"/>
    <col min="265" max="512" width="9" style="124"/>
    <col min="513" max="513" width="60.5625" style="124" customWidth="1"/>
    <col min="514" max="514" width="10.5625" style="124" customWidth="1"/>
    <col min="515" max="515" width="15.5625" style="124" customWidth="1"/>
    <col min="516" max="516" width="40.5625" style="124" customWidth="1"/>
    <col min="517" max="520" width="15.5625" style="124" customWidth="1"/>
    <col min="521" max="768" width="9" style="124"/>
    <col min="769" max="769" width="60.5625" style="124" customWidth="1"/>
    <col min="770" max="770" width="10.5625" style="124" customWidth="1"/>
    <col min="771" max="771" width="15.5625" style="124" customWidth="1"/>
    <col min="772" max="772" width="40.5625" style="124" customWidth="1"/>
    <col min="773" max="776" width="15.5625" style="124" customWidth="1"/>
    <col min="777" max="1024" width="9" style="124"/>
    <col min="1025" max="1025" width="60.5625" style="124" customWidth="1"/>
    <col min="1026" max="1026" width="10.5625" style="124" customWidth="1"/>
    <col min="1027" max="1027" width="15.5625" style="124" customWidth="1"/>
    <col min="1028" max="1028" width="40.5625" style="124" customWidth="1"/>
    <col min="1029" max="1032" width="15.5625" style="124" customWidth="1"/>
    <col min="1033" max="1280" width="9" style="124"/>
    <col min="1281" max="1281" width="60.5625" style="124" customWidth="1"/>
    <col min="1282" max="1282" width="10.5625" style="124" customWidth="1"/>
    <col min="1283" max="1283" width="15.5625" style="124" customWidth="1"/>
    <col min="1284" max="1284" width="40.5625" style="124" customWidth="1"/>
    <col min="1285" max="1288" width="15.5625" style="124" customWidth="1"/>
    <col min="1289" max="1536" width="9" style="124"/>
    <col min="1537" max="1537" width="60.5625" style="124" customWidth="1"/>
    <col min="1538" max="1538" width="10.5625" style="124" customWidth="1"/>
    <col min="1539" max="1539" width="15.5625" style="124" customWidth="1"/>
    <col min="1540" max="1540" width="40.5625" style="124" customWidth="1"/>
    <col min="1541" max="1544" width="15.5625" style="124" customWidth="1"/>
    <col min="1545" max="1792" width="9" style="124"/>
    <col min="1793" max="1793" width="60.5625" style="124" customWidth="1"/>
    <col min="1794" max="1794" width="10.5625" style="124" customWidth="1"/>
    <col min="1795" max="1795" width="15.5625" style="124" customWidth="1"/>
    <col min="1796" max="1796" width="40.5625" style="124" customWidth="1"/>
    <col min="1797" max="1800" width="15.5625" style="124" customWidth="1"/>
    <col min="1801" max="2048" width="9" style="124"/>
    <col min="2049" max="2049" width="60.5625" style="124" customWidth="1"/>
    <col min="2050" max="2050" width="10.5625" style="124" customWidth="1"/>
    <col min="2051" max="2051" width="15.5625" style="124" customWidth="1"/>
    <col min="2052" max="2052" width="40.5625" style="124" customWidth="1"/>
    <col min="2053" max="2056" width="15.5625" style="124" customWidth="1"/>
    <col min="2057" max="2304" width="9" style="124"/>
    <col min="2305" max="2305" width="60.5625" style="124" customWidth="1"/>
    <col min="2306" max="2306" width="10.5625" style="124" customWidth="1"/>
    <col min="2307" max="2307" width="15.5625" style="124" customWidth="1"/>
    <col min="2308" max="2308" width="40.5625" style="124" customWidth="1"/>
    <col min="2309" max="2312" width="15.5625" style="124" customWidth="1"/>
    <col min="2313" max="2560" width="9" style="124"/>
    <col min="2561" max="2561" width="60.5625" style="124" customWidth="1"/>
    <col min="2562" max="2562" width="10.5625" style="124" customWidth="1"/>
    <col min="2563" max="2563" width="15.5625" style="124" customWidth="1"/>
    <col min="2564" max="2564" width="40.5625" style="124" customWidth="1"/>
    <col min="2565" max="2568" width="15.5625" style="124" customWidth="1"/>
    <col min="2569" max="2816" width="9" style="124"/>
    <col min="2817" max="2817" width="60.5625" style="124" customWidth="1"/>
    <col min="2818" max="2818" width="10.5625" style="124" customWidth="1"/>
    <col min="2819" max="2819" width="15.5625" style="124" customWidth="1"/>
    <col min="2820" max="2820" width="40.5625" style="124" customWidth="1"/>
    <col min="2821" max="2824" width="15.5625" style="124" customWidth="1"/>
    <col min="2825" max="3072" width="9" style="124"/>
    <col min="3073" max="3073" width="60.5625" style="124" customWidth="1"/>
    <col min="3074" max="3074" width="10.5625" style="124" customWidth="1"/>
    <col min="3075" max="3075" width="15.5625" style="124" customWidth="1"/>
    <col min="3076" max="3076" width="40.5625" style="124" customWidth="1"/>
    <col min="3077" max="3080" width="15.5625" style="124" customWidth="1"/>
    <col min="3081" max="3328" width="9" style="124"/>
    <col min="3329" max="3329" width="60.5625" style="124" customWidth="1"/>
    <col min="3330" max="3330" width="10.5625" style="124" customWidth="1"/>
    <col min="3331" max="3331" width="15.5625" style="124" customWidth="1"/>
    <col min="3332" max="3332" width="40.5625" style="124" customWidth="1"/>
    <col min="3333" max="3336" width="15.5625" style="124" customWidth="1"/>
    <col min="3337" max="3584" width="9" style="124"/>
    <col min="3585" max="3585" width="60.5625" style="124" customWidth="1"/>
    <col min="3586" max="3586" width="10.5625" style="124" customWidth="1"/>
    <col min="3587" max="3587" width="15.5625" style="124" customWidth="1"/>
    <col min="3588" max="3588" width="40.5625" style="124" customWidth="1"/>
    <col min="3589" max="3592" width="15.5625" style="124" customWidth="1"/>
    <col min="3593" max="3840" width="9" style="124"/>
    <col min="3841" max="3841" width="60.5625" style="124" customWidth="1"/>
    <col min="3842" max="3842" width="10.5625" style="124" customWidth="1"/>
    <col min="3843" max="3843" width="15.5625" style="124" customWidth="1"/>
    <col min="3844" max="3844" width="40.5625" style="124" customWidth="1"/>
    <col min="3845" max="3848" width="15.5625" style="124" customWidth="1"/>
    <col min="3849" max="4096" width="9" style="124"/>
    <col min="4097" max="4097" width="60.5625" style="124" customWidth="1"/>
    <col min="4098" max="4098" width="10.5625" style="124" customWidth="1"/>
    <col min="4099" max="4099" width="15.5625" style="124" customWidth="1"/>
    <col min="4100" max="4100" width="40.5625" style="124" customWidth="1"/>
    <col min="4101" max="4104" width="15.5625" style="124" customWidth="1"/>
    <col min="4105" max="4352" width="9" style="124"/>
    <col min="4353" max="4353" width="60.5625" style="124" customWidth="1"/>
    <col min="4354" max="4354" width="10.5625" style="124" customWidth="1"/>
    <col min="4355" max="4355" width="15.5625" style="124" customWidth="1"/>
    <col min="4356" max="4356" width="40.5625" style="124" customWidth="1"/>
    <col min="4357" max="4360" width="15.5625" style="124" customWidth="1"/>
    <col min="4361" max="4608" width="9" style="124"/>
    <col min="4609" max="4609" width="60.5625" style="124" customWidth="1"/>
    <col min="4610" max="4610" width="10.5625" style="124" customWidth="1"/>
    <col min="4611" max="4611" width="15.5625" style="124" customWidth="1"/>
    <col min="4612" max="4612" width="40.5625" style="124" customWidth="1"/>
    <col min="4613" max="4616" width="15.5625" style="124" customWidth="1"/>
    <col min="4617" max="4864" width="9" style="124"/>
    <col min="4865" max="4865" width="60.5625" style="124" customWidth="1"/>
    <col min="4866" max="4866" width="10.5625" style="124" customWidth="1"/>
    <col min="4867" max="4867" width="15.5625" style="124" customWidth="1"/>
    <col min="4868" max="4868" width="40.5625" style="124" customWidth="1"/>
    <col min="4869" max="4872" width="15.5625" style="124" customWidth="1"/>
    <col min="4873" max="5120" width="9" style="124"/>
    <col min="5121" max="5121" width="60.5625" style="124" customWidth="1"/>
    <col min="5122" max="5122" width="10.5625" style="124" customWidth="1"/>
    <col min="5123" max="5123" width="15.5625" style="124" customWidth="1"/>
    <col min="5124" max="5124" width="40.5625" style="124" customWidth="1"/>
    <col min="5125" max="5128" width="15.5625" style="124" customWidth="1"/>
    <col min="5129" max="5376" width="9" style="124"/>
    <col min="5377" max="5377" width="60.5625" style="124" customWidth="1"/>
    <col min="5378" max="5378" width="10.5625" style="124" customWidth="1"/>
    <col min="5379" max="5379" width="15.5625" style="124" customWidth="1"/>
    <col min="5380" max="5380" width="40.5625" style="124" customWidth="1"/>
    <col min="5381" max="5384" width="15.5625" style="124" customWidth="1"/>
    <col min="5385" max="5632" width="9" style="124"/>
    <col min="5633" max="5633" width="60.5625" style="124" customWidth="1"/>
    <col min="5634" max="5634" width="10.5625" style="124" customWidth="1"/>
    <col min="5635" max="5635" width="15.5625" style="124" customWidth="1"/>
    <col min="5636" max="5636" width="40.5625" style="124" customWidth="1"/>
    <col min="5637" max="5640" width="15.5625" style="124" customWidth="1"/>
    <col min="5641" max="5888" width="9" style="124"/>
    <col min="5889" max="5889" width="60.5625" style="124" customWidth="1"/>
    <col min="5890" max="5890" width="10.5625" style="124" customWidth="1"/>
    <col min="5891" max="5891" width="15.5625" style="124" customWidth="1"/>
    <col min="5892" max="5892" width="40.5625" style="124" customWidth="1"/>
    <col min="5893" max="5896" width="15.5625" style="124" customWidth="1"/>
    <col min="5897" max="6144" width="9" style="124"/>
    <col min="6145" max="6145" width="60.5625" style="124" customWidth="1"/>
    <col min="6146" max="6146" width="10.5625" style="124" customWidth="1"/>
    <col min="6147" max="6147" width="15.5625" style="124" customWidth="1"/>
    <col min="6148" max="6148" width="40.5625" style="124" customWidth="1"/>
    <col min="6149" max="6152" width="15.5625" style="124" customWidth="1"/>
    <col min="6153" max="6400" width="9" style="124"/>
    <col min="6401" max="6401" width="60.5625" style="124" customWidth="1"/>
    <col min="6402" max="6402" width="10.5625" style="124" customWidth="1"/>
    <col min="6403" max="6403" width="15.5625" style="124" customWidth="1"/>
    <col min="6404" max="6404" width="40.5625" style="124" customWidth="1"/>
    <col min="6405" max="6408" width="15.5625" style="124" customWidth="1"/>
    <col min="6409" max="6656" width="9" style="124"/>
    <col min="6657" max="6657" width="60.5625" style="124" customWidth="1"/>
    <col min="6658" max="6658" width="10.5625" style="124" customWidth="1"/>
    <col min="6659" max="6659" width="15.5625" style="124" customWidth="1"/>
    <col min="6660" max="6660" width="40.5625" style="124" customWidth="1"/>
    <col min="6661" max="6664" width="15.5625" style="124" customWidth="1"/>
    <col min="6665" max="6912" width="9" style="124"/>
    <col min="6913" max="6913" width="60.5625" style="124" customWidth="1"/>
    <col min="6914" max="6914" width="10.5625" style="124" customWidth="1"/>
    <col min="6915" max="6915" width="15.5625" style="124" customWidth="1"/>
    <col min="6916" max="6916" width="40.5625" style="124" customWidth="1"/>
    <col min="6917" max="6920" width="15.5625" style="124" customWidth="1"/>
    <col min="6921" max="7168" width="9" style="124"/>
    <col min="7169" max="7169" width="60.5625" style="124" customWidth="1"/>
    <col min="7170" max="7170" width="10.5625" style="124" customWidth="1"/>
    <col min="7171" max="7171" width="15.5625" style="124" customWidth="1"/>
    <col min="7172" max="7172" width="40.5625" style="124" customWidth="1"/>
    <col min="7173" max="7176" width="15.5625" style="124" customWidth="1"/>
    <col min="7177" max="7424" width="9" style="124"/>
    <col min="7425" max="7425" width="60.5625" style="124" customWidth="1"/>
    <col min="7426" max="7426" width="10.5625" style="124" customWidth="1"/>
    <col min="7427" max="7427" width="15.5625" style="124" customWidth="1"/>
    <col min="7428" max="7428" width="40.5625" style="124" customWidth="1"/>
    <col min="7429" max="7432" width="15.5625" style="124" customWidth="1"/>
    <col min="7433" max="7680" width="9" style="124"/>
    <col min="7681" max="7681" width="60.5625" style="124" customWidth="1"/>
    <col min="7682" max="7682" width="10.5625" style="124" customWidth="1"/>
    <col min="7683" max="7683" width="15.5625" style="124" customWidth="1"/>
    <col min="7684" max="7684" width="40.5625" style="124" customWidth="1"/>
    <col min="7685" max="7688" width="15.5625" style="124" customWidth="1"/>
    <col min="7689" max="7936" width="9" style="124"/>
    <col min="7937" max="7937" width="60.5625" style="124" customWidth="1"/>
    <col min="7938" max="7938" width="10.5625" style="124" customWidth="1"/>
    <col min="7939" max="7939" width="15.5625" style="124" customWidth="1"/>
    <col min="7940" max="7940" width="40.5625" style="124" customWidth="1"/>
    <col min="7941" max="7944" width="15.5625" style="124" customWidth="1"/>
    <col min="7945" max="8192" width="9" style="124"/>
    <col min="8193" max="8193" width="60.5625" style="124" customWidth="1"/>
    <col min="8194" max="8194" width="10.5625" style="124" customWidth="1"/>
    <col min="8195" max="8195" width="15.5625" style="124" customWidth="1"/>
    <col min="8196" max="8196" width="40.5625" style="124" customWidth="1"/>
    <col min="8197" max="8200" width="15.5625" style="124" customWidth="1"/>
    <col min="8201" max="8448" width="9" style="124"/>
    <col min="8449" max="8449" width="60.5625" style="124" customWidth="1"/>
    <col min="8450" max="8450" width="10.5625" style="124" customWidth="1"/>
    <col min="8451" max="8451" width="15.5625" style="124" customWidth="1"/>
    <col min="8452" max="8452" width="40.5625" style="124" customWidth="1"/>
    <col min="8453" max="8456" width="15.5625" style="124" customWidth="1"/>
    <col min="8457" max="8704" width="9" style="124"/>
    <col min="8705" max="8705" width="60.5625" style="124" customWidth="1"/>
    <col min="8706" max="8706" width="10.5625" style="124" customWidth="1"/>
    <col min="8707" max="8707" width="15.5625" style="124" customWidth="1"/>
    <col min="8708" max="8708" width="40.5625" style="124" customWidth="1"/>
    <col min="8709" max="8712" width="15.5625" style="124" customWidth="1"/>
    <col min="8713" max="8960" width="9" style="124"/>
    <col min="8961" max="8961" width="60.5625" style="124" customWidth="1"/>
    <col min="8962" max="8962" width="10.5625" style="124" customWidth="1"/>
    <col min="8963" max="8963" width="15.5625" style="124" customWidth="1"/>
    <col min="8964" max="8964" width="40.5625" style="124" customWidth="1"/>
    <col min="8965" max="8968" width="15.5625" style="124" customWidth="1"/>
    <col min="8969" max="9216" width="9" style="124"/>
    <col min="9217" max="9217" width="60.5625" style="124" customWidth="1"/>
    <col min="9218" max="9218" width="10.5625" style="124" customWidth="1"/>
    <col min="9219" max="9219" width="15.5625" style="124" customWidth="1"/>
    <col min="9220" max="9220" width="40.5625" style="124" customWidth="1"/>
    <col min="9221" max="9224" width="15.5625" style="124" customWidth="1"/>
    <col min="9225" max="9472" width="9" style="124"/>
    <col min="9473" max="9473" width="60.5625" style="124" customWidth="1"/>
    <col min="9474" max="9474" width="10.5625" style="124" customWidth="1"/>
    <col min="9475" max="9475" width="15.5625" style="124" customWidth="1"/>
    <col min="9476" max="9476" width="40.5625" style="124" customWidth="1"/>
    <col min="9477" max="9480" width="15.5625" style="124" customWidth="1"/>
    <col min="9481" max="9728" width="9" style="124"/>
    <col min="9729" max="9729" width="60.5625" style="124" customWidth="1"/>
    <col min="9730" max="9730" width="10.5625" style="124" customWidth="1"/>
    <col min="9731" max="9731" width="15.5625" style="124" customWidth="1"/>
    <col min="9732" max="9732" width="40.5625" style="124" customWidth="1"/>
    <col min="9733" max="9736" width="15.5625" style="124" customWidth="1"/>
    <col min="9737" max="9984" width="9" style="124"/>
    <col min="9985" max="9985" width="60.5625" style="124" customWidth="1"/>
    <col min="9986" max="9986" width="10.5625" style="124" customWidth="1"/>
    <col min="9987" max="9987" width="15.5625" style="124" customWidth="1"/>
    <col min="9988" max="9988" width="40.5625" style="124" customWidth="1"/>
    <col min="9989" max="9992" width="15.5625" style="124" customWidth="1"/>
    <col min="9993" max="10240" width="9" style="124"/>
    <col min="10241" max="10241" width="60.5625" style="124" customWidth="1"/>
    <col min="10242" max="10242" width="10.5625" style="124" customWidth="1"/>
    <col min="10243" max="10243" width="15.5625" style="124" customWidth="1"/>
    <col min="10244" max="10244" width="40.5625" style="124" customWidth="1"/>
    <col min="10245" max="10248" width="15.5625" style="124" customWidth="1"/>
    <col min="10249" max="10496" width="9" style="124"/>
    <col min="10497" max="10497" width="60.5625" style="124" customWidth="1"/>
    <col min="10498" max="10498" width="10.5625" style="124" customWidth="1"/>
    <col min="10499" max="10499" width="15.5625" style="124" customWidth="1"/>
    <col min="10500" max="10500" width="40.5625" style="124" customWidth="1"/>
    <col min="10501" max="10504" width="15.5625" style="124" customWidth="1"/>
    <col min="10505" max="10752" width="9" style="124"/>
    <col min="10753" max="10753" width="60.5625" style="124" customWidth="1"/>
    <col min="10754" max="10754" width="10.5625" style="124" customWidth="1"/>
    <col min="10755" max="10755" width="15.5625" style="124" customWidth="1"/>
    <col min="10756" max="10756" width="40.5625" style="124" customWidth="1"/>
    <col min="10757" max="10760" width="15.5625" style="124" customWidth="1"/>
    <col min="10761" max="11008" width="9" style="124"/>
    <col min="11009" max="11009" width="60.5625" style="124" customWidth="1"/>
    <col min="11010" max="11010" width="10.5625" style="124" customWidth="1"/>
    <col min="11011" max="11011" width="15.5625" style="124" customWidth="1"/>
    <col min="11012" max="11012" width="40.5625" style="124" customWidth="1"/>
    <col min="11013" max="11016" width="15.5625" style="124" customWidth="1"/>
    <col min="11017" max="11264" width="9" style="124"/>
    <col min="11265" max="11265" width="60.5625" style="124" customWidth="1"/>
    <col min="11266" max="11266" width="10.5625" style="124" customWidth="1"/>
    <col min="11267" max="11267" width="15.5625" style="124" customWidth="1"/>
    <col min="11268" max="11268" width="40.5625" style="124" customWidth="1"/>
    <col min="11269" max="11272" width="15.5625" style="124" customWidth="1"/>
    <col min="11273" max="11520" width="9" style="124"/>
    <col min="11521" max="11521" width="60.5625" style="124" customWidth="1"/>
    <col min="11522" max="11522" width="10.5625" style="124" customWidth="1"/>
    <col min="11523" max="11523" width="15.5625" style="124" customWidth="1"/>
    <col min="11524" max="11524" width="40.5625" style="124" customWidth="1"/>
    <col min="11525" max="11528" width="15.5625" style="124" customWidth="1"/>
    <col min="11529" max="11776" width="9" style="124"/>
    <col min="11777" max="11777" width="60.5625" style="124" customWidth="1"/>
    <col min="11778" max="11778" width="10.5625" style="124" customWidth="1"/>
    <col min="11779" max="11779" width="15.5625" style="124" customWidth="1"/>
    <col min="11780" max="11780" width="40.5625" style="124" customWidth="1"/>
    <col min="11781" max="11784" width="15.5625" style="124" customWidth="1"/>
    <col min="11785" max="12032" width="9" style="124"/>
    <col min="12033" max="12033" width="60.5625" style="124" customWidth="1"/>
    <col min="12034" max="12034" width="10.5625" style="124" customWidth="1"/>
    <col min="12035" max="12035" width="15.5625" style="124" customWidth="1"/>
    <col min="12036" max="12036" width="40.5625" style="124" customWidth="1"/>
    <col min="12037" max="12040" width="15.5625" style="124" customWidth="1"/>
    <col min="12041" max="12288" width="9" style="124"/>
    <col min="12289" max="12289" width="60.5625" style="124" customWidth="1"/>
    <col min="12290" max="12290" width="10.5625" style="124" customWidth="1"/>
    <col min="12291" max="12291" width="15.5625" style="124" customWidth="1"/>
    <col min="12292" max="12292" width="40.5625" style="124" customWidth="1"/>
    <col min="12293" max="12296" width="15.5625" style="124" customWidth="1"/>
    <col min="12297" max="12544" width="9" style="124"/>
    <col min="12545" max="12545" width="60.5625" style="124" customWidth="1"/>
    <col min="12546" max="12546" width="10.5625" style="124" customWidth="1"/>
    <col min="12547" max="12547" width="15.5625" style="124" customWidth="1"/>
    <col min="12548" max="12548" width="40.5625" style="124" customWidth="1"/>
    <col min="12549" max="12552" width="15.5625" style="124" customWidth="1"/>
    <col min="12553" max="12800" width="9" style="124"/>
    <col min="12801" max="12801" width="60.5625" style="124" customWidth="1"/>
    <col min="12802" max="12802" width="10.5625" style="124" customWidth="1"/>
    <col min="12803" max="12803" width="15.5625" style="124" customWidth="1"/>
    <col min="12804" max="12804" width="40.5625" style="124" customWidth="1"/>
    <col min="12805" max="12808" width="15.5625" style="124" customWidth="1"/>
    <col min="12809" max="13056" width="9" style="124"/>
    <col min="13057" max="13057" width="60.5625" style="124" customWidth="1"/>
    <col min="13058" max="13058" width="10.5625" style="124" customWidth="1"/>
    <col min="13059" max="13059" width="15.5625" style="124" customWidth="1"/>
    <col min="13060" max="13060" width="40.5625" style="124" customWidth="1"/>
    <col min="13061" max="13064" width="15.5625" style="124" customWidth="1"/>
    <col min="13065" max="13312" width="9" style="124"/>
    <col min="13313" max="13313" width="60.5625" style="124" customWidth="1"/>
    <col min="13314" max="13314" width="10.5625" style="124" customWidth="1"/>
    <col min="13315" max="13315" width="15.5625" style="124" customWidth="1"/>
    <col min="13316" max="13316" width="40.5625" style="124" customWidth="1"/>
    <col min="13317" max="13320" width="15.5625" style="124" customWidth="1"/>
    <col min="13321" max="13568" width="9" style="124"/>
    <col min="13569" max="13569" width="60.5625" style="124" customWidth="1"/>
    <col min="13570" max="13570" width="10.5625" style="124" customWidth="1"/>
    <col min="13571" max="13571" width="15.5625" style="124" customWidth="1"/>
    <col min="13572" max="13572" width="40.5625" style="124" customWidth="1"/>
    <col min="13573" max="13576" width="15.5625" style="124" customWidth="1"/>
    <col min="13577" max="13824" width="9" style="124"/>
    <col min="13825" max="13825" width="60.5625" style="124" customWidth="1"/>
    <col min="13826" max="13826" width="10.5625" style="124" customWidth="1"/>
    <col min="13827" max="13827" width="15.5625" style="124" customWidth="1"/>
    <col min="13828" max="13828" width="40.5625" style="124" customWidth="1"/>
    <col min="13829" max="13832" width="15.5625" style="124" customWidth="1"/>
    <col min="13833" max="14080" width="9" style="124"/>
    <col min="14081" max="14081" width="60.5625" style="124" customWidth="1"/>
    <col min="14082" max="14082" width="10.5625" style="124" customWidth="1"/>
    <col min="14083" max="14083" width="15.5625" style="124" customWidth="1"/>
    <col min="14084" max="14084" width="40.5625" style="124" customWidth="1"/>
    <col min="14085" max="14088" width="15.5625" style="124" customWidth="1"/>
    <col min="14089" max="14336" width="9" style="124"/>
    <col min="14337" max="14337" width="60.5625" style="124" customWidth="1"/>
    <col min="14338" max="14338" width="10.5625" style="124" customWidth="1"/>
    <col min="14339" max="14339" width="15.5625" style="124" customWidth="1"/>
    <col min="14340" max="14340" width="40.5625" style="124" customWidth="1"/>
    <col min="14341" max="14344" width="15.5625" style="124" customWidth="1"/>
    <col min="14345" max="14592" width="9" style="124"/>
    <col min="14593" max="14593" width="60.5625" style="124" customWidth="1"/>
    <col min="14594" max="14594" width="10.5625" style="124" customWidth="1"/>
    <col min="14595" max="14595" width="15.5625" style="124" customWidth="1"/>
    <col min="14596" max="14596" width="40.5625" style="124" customWidth="1"/>
    <col min="14597" max="14600" width="15.5625" style="124" customWidth="1"/>
    <col min="14601" max="14848" width="9" style="124"/>
    <col min="14849" max="14849" width="60.5625" style="124" customWidth="1"/>
    <col min="14850" max="14850" width="10.5625" style="124" customWidth="1"/>
    <col min="14851" max="14851" width="15.5625" style="124" customWidth="1"/>
    <col min="14852" max="14852" width="40.5625" style="124" customWidth="1"/>
    <col min="14853" max="14856" width="15.5625" style="124" customWidth="1"/>
    <col min="14857" max="15104" width="9" style="124"/>
    <col min="15105" max="15105" width="60.5625" style="124" customWidth="1"/>
    <col min="15106" max="15106" width="10.5625" style="124" customWidth="1"/>
    <col min="15107" max="15107" width="15.5625" style="124" customWidth="1"/>
    <col min="15108" max="15108" width="40.5625" style="124" customWidth="1"/>
    <col min="15109" max="15112" width="15.5625" style="124" customWidth="1"/>
    <col min="15113" max="15360" width="9" style="124"/>
    <col min="15361" max="15361" width="60.5625" style="124" customWidth="1"/>
    <col min="15362" max="15362" width="10.5625" style="124" customWidth="1"/>
    <col min="15363" max="15363" width="15.5625" style="124" customWidth="1"/>
    <col min="15364" max="15364" width="40.5625" style="124" customWidth="1"/>
    <col min="15365" max="15368" width="15.5625" style="124" customWidth="1"/>
    <col min="15369" max="15616" width="9" style="124"/>
    <col min="15617" max="15617" width="60.5625" style="124" customWidth="1"/>
    <col min="15618" max="15618" width="10.5625" style="124" customWidth="1"/>
    <col min="15619" max="15619" width="15.5625" style="124" customWidth="1"/>
    <col min="15620" max="15620" width="40.5625" style="124" customWidth="1"/>
    <col min="15621" max="15624" width="15.5625" style="124" customWidth="1"/>
    <col min="15625" max="15872" width="9" style="124"/>
    <col min="15873" max="15873" width="60.5625" style="124" customWidth="1"/>
    <col min="15874" max="15874" width="10.5625" style="124" customWidth="1"/>
    <col min="15875" max="15875" width="15.5625" style="124" customWidth="1"/>
    <col min="15876" max="15876" width="40.5625" style="124" customWidth="1"/>
    <col min="15877" max="15880" width="15.5625" style="124" customWidth="1"/>
    <col min="15881" max="16128" width="9" style="124"/>
    <col min="16129" max="16129" width="60.5625" style="124" customWidth="1"/>
    <col min="16130" max="16130" width="10.5625" style="124" customWidth="1"/>
    <col min="16131" max="16131" width="15.5625" style="124" customWidth="1"/>
    <col min="16132" max="16132" width="40.5625" style="124" customWidth="1"/>
    <col min="16133" max="16136" width="15.5625" style="124" customWidth="1"/>
    <col min="16137" max="16384" width="9" style="124"/>
  </cols>
  <sheetData>
    <row r="2" spans="1:8">
      <c r="A2" s="125" t="s">
        <v>66</v>
      </c>
      <c r="B2" s="126"/>
      <c r="C2" s="126"/>
      <c r="D2" s="126"/>
      <c r="E2" s="126"/>
      <c r="F2" s="126"/>
      <c r="G2" s="126"/>
      <c r="H2" s="126"/>
    </row>
    <row r="3" spans="1:8" s="122" customFormat="1">
      <c r="A3" s="127" t="s">
        <v>67</v>
      </c>
      <c r="B3" s="128" t="s">
        <v>68</v>
      </c>
      <c r="C3" s="129"/>
      <c r="D3" s="130"/>
      <c r="E3" s="131" t="s">
        <v>69</v>
      </c>
      <c r="F3" s="132"/>
      <c r="G3" s="133"/>
      <c r="H3" s="228" t="s">
        <v>70</v>
      </c>
    </row>
    <row r="4" spans="1:8" s="123" customFormat="1">
      <c r="A4" s="134"/>
      <c r="B4" s="135"/>
      <c r="C4" s="135"/>
      <c r="D4" s="135"/>
      <c r="E4" s="135"/>
      <c r="F4" s="135"/>
      <c r="G4" s="135"/>
      <c r="H4" s="135"/>
    </row>
    <row r="5" spans="1:8" s="123" customFormat="1">
      <c r="A5" s="136" t="s">
        <v>6</v>
      </c>
      <c r="B5" s="137" t="s">
        <v>7</v>
      </c>
      <c r="C5" s="138"/>
      <c r="D5" s="139"/>
      <c r="E5" s="138" t="s">
        <v>8</v>
      </c>
      <c r="F5" s="138"/>
      <c r="G5" s="140"/>
      <c r="H5" s="141" t="s">
        <v>9</v>
      </c>
    </row>
    <row r="6" spans="1:8" s="123" customFormat="1">
      <c r="A6" s="252" t="s">
        <v>71</v>
      </c>
      <c r="B6" s="331" t="s">
        <v>11</v>
      </c>
      <c r="C6" s="142" t="s">
        <v>12</v>
      </c>
      <c r="D6" s="143" t="s">
        <v>13</v>
      </c>
      <c r="E6" s="144" t="s">
        <v>72</v>
      </c>
      <c r="F6" s="145"/>
      <c r="G6" s="146"/>
      <c r="H6" s="147"/>
    </row>
    <row r="7" spans="1:8" s="123" customFormat="1">
      <c r="A7" s="253"/>
      <c r="B7" s="332"/>
      <c r="C7" s="148" t="s">
        <v>14</v>
      </c>
      <c r="D7" s="149" t="s">
        <v>73</v>
      </c>
      <c r="E7" s="150" t="s">
        <v>74</v>
      </c>
      <c r="F7" s="134"/>
      <c r="G7" s="151"/>
      <c r="H7" s="152">
        <v>8</v>
      </c>
    </row>
    <row r="8" spans="1:8" s="123" customFormat="1">
      <c r="A8" s="253"/>
      <c r="B8" s="332"/>
      <c r="C8" s="148" t="s">
        <v>17</v>
      </c>
      <c r="D8" s="153" t="s">
        <v>75</v>
      </c>
      <c r="E8" s="150" t="s">
        <v>76</v>
      </c>
      <c r="F8" s="134"/>
      <c r="G8" s="151"/>
      <c r="H8" s="152">
        <v>8</v>
      </c>
    </row>
    <row r="9" spans="1:8" s="123" customFormat="1">
      <c r="A9" s="253"/>
      <c r="B9" s="332"/>
      <c r="C9" s="154" t="s">
        <v>20</v>
      </c>
      <c r="D9" s="155" t="s">
        <v>77</v>
      </c>
      <c r="E9" s="150" t="s">
        <v>78</v>
      </c>
      <c r="F9" s="134"/>
      <c r="G9" s="151"/>
      <c r="H9" s="152"/>
    </row>
    <row r="10" spans="1:8" s="123" customFormat="1">
      <c r="A10" s="253"/>
      <c r="B10" s="332"/>
      <c r="C10" s="338" t="s">
        <v>23</v>
      </c>
      <c r="D10" s="343" t="s">
        <v>79</v>
      </c>
      <c r="E10" s="150"/>
      <c r="F10" s="134"/>
      <c r="G10" s="151"/>
      <c r="H10" s="152"/>
    </row>
    <row r="11" spans="1:8" s="123" customFormat="1">
      <c r="A11" s="253"/>
      <c r="B11" s="332"/>
      <c r="C11" s="339"/>
      <c r="D11" s="344"/>
      <c r="E11" s="150"/>
      <c r="F11" s="134"/>
      <c r="G11" s="151"/>
      <c r="H11" s="152"/>
    </row>
    <row r="12" spans="1:8" s="123" customFormat="1">
      <c r="A12" s="253"/>
      <c r="B12" s="332"/>
      <c r="C12" s="339"/>
      <c r="D12" s="345"/>
      <c r="E12" s="150"/>
      <c r="F12" s="134"/>
      <c r="G12" s="151"/>
      <c r="H12" s="152"/>
    </row>
    <row r="13" spans="1:8" s="123" customFormat="1">
      <c r="A13" s="253"/>
      <c r="B13" s="332"/>
      <c r="C13" s="339"/>
      <c r="D13" s="345"/>
      <c r="E13" s="150"/>
      <c r="F13" s="134"/>
      <c r="G13" s="151"/>
      <c r="H13" s="152"/>
    </row>
    <row r="14" spans="1:8" s="123" customFormat="1">
      <c r="A14" s="253"/>
      <c r="B14" s="332"/>
      <c r="C14" s="340"/>
      <c r="D14" s="346"/>
      <c r="E14" s="150"/>
      <c r="F14" s="134"/>
      <c r="G14" s="151"/>
      <c r="H14" s="152"/>
    </row>
    <row r="15" spans="1:8" s="123" customFormat="1">
      <c r="A15" s="253"/>
      <c r="B15" s="332"/>
      <c r="C15" s="142" t="s">
        <v>30</v>
      </c>
      <c r="D15" s="156" t="s">
        <v>31</v>
      </c>
      <c r="E15" s="150"/>
      <c r="F15" s="134"/>
      <c r="G15" s="151"/>
      <c r="H15" s="152"/>
    </row>
    <row r="16" spans="1:8" s="123" customFormat="1">
      <c r="A16" s="253"/>
      <c r="B16" s="332"/>
      <c r="C16" s="341" t="s">
        <v>33</v>
      </c>
      <c r="D16" s="347" t="s">
        <v>80</v>
      </c>
      <c r="E16" s="150"/>
      <c r="F16" s="134"/>
      <c r="G16" s="151"/>
      <c r="H16" s="152"/>
    </row>
    <row r="17" spans="1:8" s="123" customFormat="1">
      <c r="A17" s="253"/>
      <c r="B17" s="332"/>
      <c r="C17" s="341"/>
      <c r="D17" s="348"/>
      <c r="E17" s="150"/>
      <c r="F17" s="134"/>
      <c r="G17" s="151"/>
      <c r="H17" s="152"/>
    </row>
    <row r="18" spans="1:8" s="123" customFormat="1">
      <c r="A18" s="253"/>
      <c r="B18" s="333"/>
      <c r="C18" s="342"/>
      <c r="D18" s="349"/>
      <c r="E18" s="150"/>
      <c r="F18" s="134"/>
      <c r="G18" s="151"/>
      <c r="H18" s="152"/>
    </row>
    <row r="19" spans="1:8" s="123" customFormat="1">
      <c r="A19" s="253"/>
      <c r="B19" s="334" t="s">
        <v>37</v>
      </c>
      <c r="C19" s="370" t="s">
        <v>81</v>
      </c>
      <c r="D19" s="371"/>
      <c r="E19" s="304"/>
      <c r="F19" s="305"/>
      <c r="G19" s="157"/>
      <c r="H19" s="158"/>
    </row>
    <row r="20" spans="1:8" s="123" customFormat="1">
      <c r="A20" s="253"/>
      <c r="B20" s="335"/>
      <c r="C20" s="372"/>
      <c r="D20" s="373"/>
      <c r="E20" s="306" t="s">
        <v>39</v>
      </c>
      <c r="F20" s="307"/>
      <c r="G20" s="159"/>
      <c r="H20" s="160">
        <f>SUM(H7:H19)</f>
        <v>16</v>
      </c>
    </row>
    <row r="21" spans="1:8" s="123" customFormat="1">
      <c r="A21" s="253"/>
      <c r="B21" s="334" t="s">
        <v>40</v>
      </c>
      <c r="C21" s="356" t="s">
        <v>82</v>
      </c>
      <c r="D21" s="357"/>
      <c r="E21" s="161" t="s">
        <v>42</v>
      </c>
      <c r="F21" s="162"/>
      <c r="G21" s="162"/>
      <c r="H21" s="163"/>
    </row>
    <row r="22" spans="1:8" s="123" customFormat="1">
      <c r="A22" s="253"/>
      <c r="B22" s="335"/>
      <c r="C22" s="358"/>
      <c r="D22" s="359"/>
      <c r="E22" s="308" t="s">
        <v>43</v>
      </c>
      <c r="F22" s="309"/>
      <c r="G22" s="310" t="s">
        <v>44</v>
      </c>
      <c r="H22" s="311"/>
    </row>
    <row r="23" spans="1:8" s="123" customFormat="1">
      <c r="A23" s="253"/>
      <c r="B23" s="336" t="s">
        <v>46</v>
      </c>
      <c r="C23" s="350" t="s">
        <v>83</v>
      </c>
      <c r="D23" s="351"/>
      <c r="E23" s="362" t="s">
        <v>84</v>
      </c>
      <c r="F23" s="363"/>
      <c r="G23" s="312"/>
      <c r="H23" s="313"/>
    </row>
    <row r="24" spans="1:8" s="123" customFormat="1">
      <c r="A24" s="253"/>
      <c r="B24" s="332"/>
      <c r="C24" s="352"/>
      <c r="D24" s="353"/>
      <c r="E24" s="364"/>
      <c r="F24" s="365"/>
      <c r="G24" s="368" t="s">
        <v>85</v>
      </c>
      <c r="H24" s="369"/>
    </row>
    <row r="25" spans="1:8" s="123" customFormat="1">
      <c r="A25" s="253"/>
      <c r="B25" s="332"/>
      <c r="C25" s="352"/>
      <c r="D25" s="353"/>
      <c r="E25" s="364"/>
      <c r="F25" s="365"/>
      <c r="G25" s="368"/>
      <c r="H25" s="369"/>
    </row>
    <row r="26" spans="1:8" s="123" customFormat="1">
      <c r="A26" s="253"/>
      <c r="B26" s="332"/>
      <c r="C26" s="352"/>
      <c r="D26" s="353"/>
      <c r="E26" s="366"/>
      <c r="F26" s="367"/>
      <c r="G26" s="314"/>
      <c r="H26" s="315"/>
    </row>
    <row r="27" spans="1:8" s="123" customFormat="1">
      <c r="A27" s="253"/>
      <c r="B27" s="333"/>
      <c r="C27" s="354"/>
      <c r="D27" s="355"/>
      <c r="E27" s="316" t="s">
        <v>51</v>
      </c>
      <c r="F27" s="317"/>
      <c r="G27" s="317"/>
      <c r="H27" s="318"/>
    </row>
    <row r="28" spans="1:8" s="123" customFormat="1">
      <c r="A28" s="253"/>
      <c r="B28" s="336" t="s">
        <v>52</v>
      </c>
      <c r="C28" s="165"/>
      <c r="D28" s="166"/>
      <c r="E28" s="319" t="s">
        <v>53</v>
      </c>
      <c r="F28" s="320"/>
      <c r="G28" s="320"/>
      <c r="H28" s="321"/>
    </row>
    <row r="29" spans="1:8" s="123" customFormat="1" ht="23.25" customHeight="1">
      <c r="A29" s="253"/>
      <c r="B29" s="332"/>
      <c r="C29" s="164"/>
      <c r="D29" s="167"/>
      <c r="E29" s="322" t="s">
        <v>54</v>
      </c>
      <c r="F29" s="323"/>
      <c r="G29" s="317" t="s">
        <v>55</v>
      </c>
      <c r="H29" s="324"/>
    </row>
    <row r="30" spans="1:8" s="123" customFormat="1" ht="28.5" customHeight="1">
      <c r="A30" s="253"/>
      <c r="B30" s="332"/>
      <c r="C30" s="168"/>
      <c r="E30" s="150" t="s">
        <v>56</v>
      </c>
      <c r="F30" s="169"/>
      <c r="G30" s="360" t="s">
        <v>86</v>
      </c>
      <c r="H30" s="361"/>
    </row>
    <row r="31" spans="1:8" s="123" customFormat="1" ht="19.5" customHeight="1">
      <c r="A31" s="253"/>
      <c r="B31" s="332"/>
      <c r="C31" s="168"/>
      <c r="D31" s="167"/>
      <c r="E31" s="170" t="s">
        <v>58</v>
      </c>
      <c r="F31" s="171"/>
      <c r="G31" s="360"/>
      <c r="H31" s="361"/>
    </row>
    <row r="32" spans="1:8" s="123" customFormat="1" ht="21" customHeight="1">
      <c r="A32" s="253"/>
      <c r="B32" s="332"/>
      <c r="C32" s="168"/>
      <c r="D32" s="167"/>
      <c r="E32" s="150" t="s">
        <v>59</v>
      </c>
      <c r="F32" s="171"/>
      <c r="G32" s="360"/>
      <c r="H32" s="361"/>
    </row>
    <row r="33" spans="1:8" s="123" customFormat="1" ht="22.5" customHeight="1">
      <c r="A33" s="253"/>
      <c r="B33" s="332"/>
      <c r="C33" s="168"/>
      <c r="D33" s="167"/>
      <c r="E33" s="172" t="s">
        <v>87</v>
      </c>
      <c r="F33" s="173"/>
      <c r="G33" s="360"/>
      <c r="H33" s="361"/>
    </row>
    <row r="34" spans="1:8" s="123" customFormat="1" ht="28.5" customHeight="1">
      <c r="A34" s="253"/>
      <c r="B34" s="332"/>
      <c r="C34" s="168"/>
      <c r="D34" s="167"/>
      <c r="E34" s="322" t="s">
        <v>61</v>
      </c>
      <c r="F34" s="325"/>
      <c r="G34" s="325"/>
      <c r="H34" s="326"/>
    </row>
    <row r="35" spans="1:8" s="123" customFormat="1" ht="23.25" customHeight="1">
      <c r="A35" s="330"/>
      <c r="B35" s="337"/>
      <c r="C35" s="174" t="s">
        <v>88</v>
      </c>
      <c r="D35" s="175"/>
      <c r="E35" s="327" t="s">
        <v>62</v>
      </c>
      <c r="F35" s="328"/>
      <c r="G35" s="328"/>
      <c r="H35" s="329"/>
    </row>
    <row r="36" spans="1:8" s="123" customFormat="1">
      <c r="A36" s="123" t="s">
        <v>63</v>
      </c>
      <c r="C36" s="123" t="s">
        <v>64</v>
      </c>
      <c r="E36" s="123" t="s">
        <v>65</v>
      </c>
    </row>
  </sheetData>
  <mergeCells count="28">
    <mergeCell ref="G24:H25"/>
    <mergeCell ref="C19:D20"/>
    <mergeCell ref="E34:H34"/>
    <mergeCell ref="E35:H35"/>
    <mergeCell ref="A6:A35"/>
    <mergeCell ref="B6:B18"/>
    <mergeCell ref="B19:B20"/>
    <mergeCell ref="B21:B22"/>
    <mergeCell ref="B23:B27"/>
    <mergeCell ref="B28:B35"/>
    <mergeCell ref="C10:C14"/>
    <mergeCell ref="C16:C18"/>
    <mergeCell ref="D10:D14"/>
    <mergeCell ref="D16:D18"/>
    <mergeCell ref="C23:D27"/>
    <mergeCell ref="C21:D22"/>
    <mergeCell ref="G30:H33"/>
    <mergeCell ref="E23:F26"/>
    <mergeCell ref="G26:H26"/>
    <mergeCell ref="E27:H27"/>
    <mergeCell ref="E28:H28"/>
    <mergeCell ref="E29:F29"/>
    <mergeCell ref="G29:H29"/>
    <mergeCell ref="E19:F19"/>
    <mergeCell ref="E20:F20"/>
    <mergeCell ref="E22:F22"/>
    <mergeCell ref="G22:H22"/>
    <mergeCell ref="G23:H23"/>
  </mergeCells>
  <phoneticPr fontId="26" type="noConversion"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34"/>
  <sheetViews>
    <sheetView topLeftCell="A7" zoomScale="70" zoomScaleNormal="70" workbookViewId="0">
      <selection activeCell="A7" sqref="A1:XFD1048576"/>
    </sheetView>
  </sheetViews>
  <sheetFormatPr defaultColWidth="9" defaultRowHeight="16.149999999999999"/>
  <cols>
    <col min="1" max="1" width="4.75" style="63" customWidth="1"/>
    <col min="2" max="2" width="13.75" style="63" customWidth="1"/>
    <col min="3" max="3" width="11.3125" style="63" customWidth="1"/>
    <col min="4" max="4" width="42.75" style="64" customWidth="1"/>
    <col min="5" max="5" width="6.25" style="65" customWidth="1"/>
    <col min="6" max="6" width="6.75" style="63" customWidth="1"/>
    <col min="7" max="7" width="78.5" style="60" customWidth="1"/>
    <col min="8" max="8" width="28.3125" style="60" customWidth="1"/>
    <col min="9" max="9" width="11.8125" style="63" customWidth="1"/>
    <col min="10" max="16384" width="9" style="60"/>
  </cols>
  <sheetData>
    <row r="1" spans="1:9" ht="42" customHeight="1">
      <c r="A1" s="374" t="s">
        <v>89</v>
      </c>
      <c r="B1" s="374"/>
      <c r="C1" s="374"/>
      <c r="D1" s="374"/>
      <c r="E1" s="375"/>
      <c r="F1" s="374"/>
      <c r="G1" s="374"/>
      <c r="H1" s="374"/>
      <c r="I1" s="374"/>
    </row>
    <row r="2" spans="1:9" s="61" customFormat="1" ht="31.5" customHeight="1">
      <c r="A2" s="9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9" s="97" customFormat="1" ht="92.2" customHeight="1">
      <c r="A3" s="84">
        <v>1</v>
      </c>
      <c r="B3" s="376" t="s">
        <v>99</v>
      </c>
      <c r="C3" s="376" t="s">
        <v>100</v>
      </c>
      <c r="D3" s="98" t="s">
        <v>101</v>
      </c>
      <c r="E3" s="99" t="s">
        <v>102</v>
      </c>
      <c r="F3" s="99">
        <v>0.87</v>
      </c>
      <c r="G3" s="100" t="s">
        <v>103</v>
      </c>
      <c r="H3" s="100" t="s">
        <v>104</v>
      </c>
      <c r="I3" s="101" t="s">
        <v>105</v>
      </c>
    </row>
    <row r="4" spans="1:9" s="97" customFormat="1" ht="103.05" customHeight="1">
      <c r="A4" s="84">
        <v>2</v>
      </c>
      <c r="B4" s="377"/>
      <c r="C4" s="387"/>
      <c r="D4" s="98" t="s">
        <v>106</v>
      </c>
      <c r="E4" s="99" t="s">
        <v>102</v>
      </c>
      <c r="F4" s="99">
        <v>0.85</v>
      </c>
      <c r="G4" s="100" t="s">
        <v>107</v>
      </c>
      <c r="H4" s="100" t="s">
        <v>108</v>
      </c>
      <c r="I4" s="101" t="s">
        <v>105</v>
      </c>
    </row>
    <row r="5" spans="1:9" s="97" customFormat="1" ht="78" customHeight="1">
      <c r="A5" s="84">
        <v>3</v>
      </c>
      <c r="B5" s="377"/>
      <c r="C5" s="376" t="s">
        <v>109</v>
      </c>
      <c r="D5" s="98" t="s">
        <v>110</v>
      </c>
      <c r="E5" s="99" t="s">
        <v>102</v>
      </c>
      <c r="F5" s="99">
        <v>0.87</v>
      </c>
      <c r="G5" s="100" t="s">
        <v>111</v>
      </c>
      <c r="H5" s="100" t="s">
        <v>112</v>
      </c>
      <c r="I5" s="102" t="s">
        <v>105</v>
      </c>
    </row>
    <row r="6" spans="1:9" s="97" customFormat="1" ht="73.05" customHeight="1">
      <c r="A6" s="84">
        <v>4</v>
      </c>
      <c r="B6" s="377"/>
      <c r="C6" s="387"/>
      <c r="D6" s="98" t="s">
        <v>113</v>
      </c>
      <c r="E6" s="99" t="s">
        <v>114</v>
      </c>
      <c r="F6" s="99">
        <v>1</v>
      </c>
      <c r="G6" s="100" t="s">
        <v>115</v>
      </c>
      <c r="H6" s="100" t="s">
        <v>116</v>
      </c>
      <c r="I6" s="102" t="s">
        <v>105</v>
      </c>
    </row>
    <row r="7" spans="1:9" s="97" customFormat="1" ht="63" customHeight="1">
      <c r="A7" s="84">
        <v>5</v>
      </c>
      <c r="B7" s="377"/>
      <c r="C7" s="101" t="s">
        <v>117</v>
      </c>
      <c r="D7" s="98" t="s">
        <v>118</v>
      </c>
      <c r="E7" s="99" t="s">
        <v>114</v>
      </c>
      <c r="F7" s="99"/>
      <c r="G7" s="100" t="s">
        <v>119</v>
      </c>
      <c r="H7" s="100" t="s">
        <v>120</v>
      </c>
      <c r="I7" s="101" t="s">
        <v>121</v>
      </c>
    </row>
    <row r="8" spans="1:9" s="97" customFormat="1" ht="87" customHeight="1">
      <c r="A8" s="84">
        <v>6</v>
      </c>
      <c r="B8" s="377"/>
      <c r="C8" s="376" t="s">
        <v>122</v>
      </c>
      <c r="D8" s="98" t="s">
        <v>123</v>
      </c>
      <c r="E8" s="99" t="s">
        <v>114</v>
      </c>
      <c r="F8" s="99">
        <v>0.85</v>
      </c>
      <c r="G8" s="100" t="s">
        <v>124</v>
      </c>
      <c r="H8" s="100" t="s">
        <v>125</v>
      </c>
      <c r="I8" s="101" t="s">
        <v>105</v>
      </c>
    </row>
    <row r="9" spans="1:9" s="97" customFormat="1" ht="58.05" customHeight="1">
      <c r="A9" s="84">
        <v>7</v>
      </c>
      <c r="B9" s="377"/>
      <c r="C9" s="387"/>
      <c r="D9" s="98" t="s">
        <v>126</v>
      </c>
      <c r="E9" s="99" t="s">
        <v>114</v>
      </c>
      <c r="F9" s="99">
        <v>0.9</v>
      </c>
      <c r="G9" s="100" t="s">
        <v>127</v>
      </c>
      <c r="H9" s="100" t="s">
        <v>128</v>
      </c>
      <c r="I9" s="101" t="s">
        <v>105</v>
      </c>
    </row>
    <row r="10" spans="1:9" s="97" customFormat="1" ht="64.05" customHeight="1">
      <c r="A10" s="84">
        <v>8</v>
      </c>
      <c r="B10" s="377"/>
      <c r="C10" s="101" t="s">
        <v>129</v>
      </c>
      <c r="D10" s="98" t="s">
        <v>130</v>
      </c>
      <c r="E10" s="99" t="s">
        <v>114</v>
      </c>
      <c r="F10" s="99">
        <v>1</v>
      </c>
      <c r="G10" s="100" t="s">
        <v>131</v>
      </c>
      <c r="H10" s="103" t="s">
        <v>132</v>
      </c>
      <c r="I10" s="101" t="s">
        <v>133</v>
      </c>
    </row>
    <row r="11" spans="1:9" s="97" customFormat="1" ht="49.05" customHeight="1">
      <c r="A11" s="84">
        <v>9</v>
      </c>
      <c r="B11" s="377"/>
      <c r="C11" s="101" t="s">
        <v>134</v>
      </c>
      <c r="D11" s="98" t="s">
        <v>135</v>
      </c>
      <c r="E11" s="99" t="s">
        <v>114</v>
      </c>
      <c r="F11" s="101" t="s">
        <v>136</v>
      </c>
      <c r="G11" s="100" t="s">
        <v>137</v>
      </c>
      <c r="H11" s="100" t="s">
        <v>138</v>
      </c>
      <c r="I11" s="101" t="s">
        <v>139</v>
      </c>
    </row>
    <row r="12" spans="1:9" s="97" customFormat="1" ht="90" customHeight="1">
      <c r="A12" s="84">
        <v>10</v>
      </c>
      <c r="B12" s="378" t="s">
        <v>140</v>
      </c>
      <c r="C12" s="378" t="s">
        <v>100</v>
      </c>
      <c r="D12" s="104" t="s">
        <v>141</v>
      </c>
      <c r="E12" s="105" t="s">
        <v>142</v>
      </c>
      <c r="F12" s="106">
        <v>0.87</v>
      </c>
      <c r="G12" s="104" t="s">
        <v>143</v>
      </c>
      <c r="H12" s="104" t="s">
        <v>144</v>
      </c>
      <c r="I12" s="107" t="s">
        <v>105</v>
      </c>
    </row>
    <row r="13" spans="1:9" s="97" customFormat="1" ht="86.2" customHeight="1">
      <c r="A13" s="84">
        <v>11</v>
      </c>
      <c r="B13" s="379"/>
      <c r="C13" s="388"/>
      <c r="D13" s="108" t="s">
        <v>101</v>
      </c>
      <c r="E13" s="106" t="s">
        <v>102</v>
      </c>
      <c r="F13" s="106">
        <v>0.87</v>
      </c>
      <c r="G13" s="104" t="s">
        <v>103</v>
      </c>
      <c r="H13" s="104" t="s">
        <v>104</v>
      </c>
      <c r="I13" s="107" t="s">
        <v>105</v>
      </c>
    </row>
    <row r="14" spans="1:9" s="97" customFormat="1" ht="76.05" customHeight="1">
      <c r="A14" s="84">
        <v>12</v>
      </c>
      <c r="B14" s="379"/>
      <c r="C14" s="107" t="s">
        <v>109</v>
      </c>
      <c r="D14" s="108" t="s">
        <v>145</v>
      </c>
      <c r="E14" s="106" t="s">
        <v>114</v>
      </c>
      <c r="F14" s="106"/>
      <c r="G14" s="104" t="s">
        <v>111</v>
      </c>
      <c r="H14" s="109" t="s">
        <v>112</v>
      </c>
      <c r="I14" s="110" t="s">
        <v>105</v>
      </c>
    </row>
    <row r="15" spans="1:9" s="97" customFormat="1" ht="74.2" customHeight="1">
      <c r="A15" s="84">
        <v>13</v>
      </c>
      <c r="B15" s="379"/>
      <c r="C15" s="107" t="s">
        <v>109</v>
      </c>
      <c r="D15" s="108" t="s">
        <v>146</v>
      </c>
      <c r="E15" s="106" t="s">
        <v>114</v>
      </c>
      <c r="F15" s="106">
        <v>0.87</v>
      </c>
      <c r="G15" s="104" t="s">
        <v>147</v>
      </c>
      <c r="H15" s="104" t="s">
        <v>148</v>
      </c>
      <c r="I15" s="110" t="s">
        <v>105</v>
      </c>
    </row>
    <row r="16" spans="1:9" s="97" customFormat="1" ht="64.5" customHeight="1">
      <c r="A16" s="84">
        <v>14</v>
      </c>
      <c r="B16" s="380"/>
      <c r="C16" s="378" t="s">
        <v>122</v>
      </c>
      <c r="D16" s="108" t="s">
        <v>149</v>
      </c>
      <c r="E16" s="106" t="s">
        <v>114</v>
      </c>
      <c r="F16" s="106">
        <v>0.87</v>
      </c>
      <c r="G16" s="104" t="s">
        <v>150</v>
      </c>
      <c r="H16" s="104" t="s">
        <v>151</v>
      </c>
      <c r="I16" s="110" t="s">
        <v>105</v>
      </c>
    </row>
    <row r="17" spans="1:9" s="97" customFormat="1" ht="57" customHeight="1">
      <c r="A17" s="84">
        <v>15</v>
      </c>
      <c r="B17" s="379"/>
      <c r="C17" s="388"/>
      <c r="D17" s="108" t="s">
        <v>126</v>
      </c>
      <c r="E17" s="107" t="s">
        <v>114</v>
      </c>
      <c r="F17" s="111">
        <v>0.9</v>
      </c>
      <c r="G17" s="104" t="s">
        <v>127</v>
      </c>
      <c r="H17" s="108" t="s">
        <v>128</v>
      </c>
      <c r="I17" s="107" t="s">
        <v>105</v>
      </c>
    </row>
    <row r="18" spans="1:9" s="97" customFormat="1" ht="62.2" customHeight="1">
      <c r="A18" s="84">
        <v>16</v>
      </c>
      <c r="B18" s="379"/>
      <c r="C18" s="107" t="s">
        <v>117</v>
      </c>
      <c r="D18" s="108" t="s">
        <v>118</v>
      </c>
      <c r="E18" s="106" t="s">
        <v>114</v>
      </c>
      <c r="F18" s="106"/>
      <c r="G18" s="104" t="s">
        <v>119</v>
      </c>
      <c r="H18" s="108" t="s">
        <v>120</v>
      </c>
      <c r="I18" s="107" t="s">
        <v>121</v>
      </c>
    </row>
    <row r="19" spans="1:9" s="97" customFormat="1" ht="51" customHeight="1">
      <c r="A19" s="84">
        <v>17</v>
      </c>
      <c r="B19" s="380"/>
      <c r="C19" s="107" t="s">
        <v>134</v>
      </c>
      <c r="D19" s="108" t="s">
        <v>135</v>
      </c>
      <c r="E19" s="106" t="s">
        <v>102</v>
      </c>
      <c r="F19" s="107" t="s">
        <v>136</v>
      </c>
      <c r="G19" s="104" t="s">
        <v>137</v>
      </c>
      <c r="H19" s="104" t="s">
        <v>138</v>
      </c>
      <c r="I19" s="107" t="s">
        <v>139</v>
      </c>
    </row>
    <row r="20" spans="1:9" s="97" customFormat="1" ht="88.05" customHeight="1">
      <c r="A20" s="84">
        <v>18</v>
      </c>
      <c r="B20" s="381" t="s">
        <v>152</v>
      </c>
      <c r="C20" s="389" t="s">
        <v>100</v>
      </c>
      <c r="D20" s="112" t="s">
        <v>141</v>
      </c>
      <c r="E20" s="113" t="s">
        <v>142</v>
      </c>
      <c r="F20" s="114">
        <v>0.87</v>
      </c>
      <c r="G20" s="112" t="s">
        <v>143</v>
      </c>
      <c r="H20" s="112" t="s">
        <v>144</v>
      </c>
      <c r="I20" s="115" t="s">
        <v>105</v>
      </c>
    </row>
    <row r="21" spans="1:9" s="97" customFormat="1" ht="92.2" customHeight="1">
      <c r="A21" s="84">
        <v>19</v>
      </c>
      <c r="B21" s="382"/>
      <c r="C21" s="390"/>
      <c r="D21" s="116" t="s">
        <v>101</v>
      </c>
      <c r="E21" s="114" t="s">
        <v>102</v>
      </c>
      <c r="F21" s="114">
        <v>0.87</v>
      </c>
      <c r="G21" s="112" t="s">
        <v>103</v>
      </c>
      <c r="H21" s="112" t="s">
        <v>104</v>
      </c>
      <c r="I21" s="115" t="s">
        <v>105</v>
      </c>
    </row>
    <row r="22" spans="1:9" s="97" customFormat="1" ht="92.2" customHeight="1">
      <c r="A22" s="84">
        <v>20</v>
      </c>
      <c r="B22" s="382"/>
      <c r="C22" s="389" t="s">
        <v>109</v>
      </c>
      <c r="D22" s="112" t="s">
        <v>153</v>
      </c>
      <c r="E22" s="114" t="s">
        <v>114</v>
      </c>
      <c r="F22" s="114">
        <v>0.85</v>
      </c>
      <c r="G22" s="112" t="s">
        <v>154</v>
      </c>
      <c r="H22" s="116" t="s">
        <v>125</v>
      </c>
      <c r="I22" s="115" t="s">
        <v>155</v>
      </c>
    </row>
    <row r="23" spans="1:9" s="97" customFormat="1" ht="76.05" customHeight="1">
      <c r="A23" s="84">
        <v>21</v>
      </c>
      <c r="B23" s="382"/>
      <c r="C23" s="390"/>
      <c r="D23" s="116" t="s">
        <v>145</v>
      </c>
      <c r="E23" s="114" t="s">
        <v>102</v>
      </c>
      <c r="F23" s="114"/>
      <c r="G23" s="112" t="s">
        <v>111</v>
      </c>
      <c r="H23" s="112" t="s">
        <v>112</v>
      </c>
      <c r="I23" s="117" t="s">
        <v>105</v>
      </c>
    </row>
    <row r="24" spans="1:9" s="97" customFormat="1" ht="58.05" customHeight="1">
      <c r="A24" s="84">
        <v>22</v>
      </c>
      <c r="B24" s="382"/>
      <c r="C24" s="118" t="s">
        <v>122</v>
      </c>
      <c r="D24" s="112" t="s">
        <v>126</v>
      </c>
      <c r="E24" s="119" t="s">
        <v>114</v>
      </c>
      <c r="F24" s="120">
        <v>0.9</v>
      </c>
      <c r="G24" s="112" t="s">
        <v>127</v>
      </c>
      <c r="H24" s="112" t="s">
        <v>128</v>
      </c>
      <c r="I24" s="119" t="s">
        <v>105</v>
      </c>
    </row>
    <row r="25" spans="1:9" s="97" customFormat="1" ht="69" customHeight="1">
      <c r="A25" s="84">
        <v>23</v>
      </c>
      <c r="B25" s="382"/>
      <c r="C25" s="115" t="s">
        <v>117</v>
      </c>
      <c r="D25" s="116" t="s">
        <v>118</v>
      </c>
      <c r="E25" s="114" t="s">
        <v>114</v>
      </c>
      <c r="F25" s="114"/>
      <c r="G25" s="112" t="s">
        <v>119</v>
      </c>
      <c r="H25" s="112" t="s">
        <v>120</v>
      </c>
      <c r="I25" s="115" t="s">
        <v>121</v>
      </c>
    </row>
    <row r="26" spans="1:9" s="97" customFormat="1" ht="51" customHeight="1">
      <c r="A26" s="84">
        <v>24</v>
      </c>
      <c r="B26" s="383"/>
      <c r="C26" s="115" t="s">
        <v>134</v>
      </c>
      <c r="D26" s="116" t="s">
        <v>156</v>
      </c>
      <c r="E26" s="114" t="s">
        <v>114</v>
      </c>
      <c r="F26" s="115" t="s">
        <v>157</v>
      </c>
      <c r="G26" s="112" t="s">
        <v>137</v>
      </c>
      <c r="H26" s="116" t="s">
        <v>138</v>
      </c>
      <c r="I26" s="115" t="s">
        <v>139</v>
      </c>
    </row>
    <row r="27" spans="1:9" s="97" customFormat="1" ht="87" customHeight="1">
      <c r="A27" s="84">
        <v>25</v>
      </c>
      <c r="B27" s="384" t="s">
        <v>158</v>
      </c>
      <c r="C27" s="378" t="s">
        <v>100</v>
      </c>
      <c r="D27" s="104" t="s">
        <v>141</v>
      </c>
      <c r="E27" s="105" t="s">
        <v>142</v>
      </c>
      <c r="F27" s="106">
        <v>0.87</v>
      </c>
      <c r="G27" s="104" t="s">
        <v>143</v>
      </c>
      <c r="H27" s="104" t="s">
        <v>144</v>
      </c>
      <c r="I27" s="107" t="s">
        <v>105</v>
      </c>
    </row>
    <row r="28" spans="1:9" s="97" customFormat="1" ht="89.2" customHeight="1">
      <c r="A28" s="84">
        <v>26</v>
      </c>
      <c r="B28" s="385"/>
      <c r="C28" s="388"/>
      <c r="D28" s="108" t="s">
        <v>101</v>
      </c>
      <c r="E28" s="106" t="s">
        <v>102</v>
      </c>
      <c r="F28" s="106">
        <v>0.87</v>
      </c>
      <c r="G28" s="104" t="s">
        <v>103</v>
      </c>
      <c r="H28" s="104" t="s">
        <v>104</v>
      </c>
      <c r="I28" s="107" t="s">
        <v>105</v>
      </c>
    </row>
    <row r="29" spans="1:9" s="97" customFormat="1" ht="92.2" customHeight="1">
      <c r="A29" s="84">
        <v>27</v>
      </c>
      <c r="B29" s="385"/>
      <c r="C29" s="378" t="s">
        <v>109</v>
      </c>
      <c r="D29" s="104" t="s">
        <v>153</v>
      </c>
      <c r="E29" s="106" t="s">
        <v>114</v>
      </c>
      <c r="F29" s="106">
        <v>0.85</v>
      </c>
      <c r="G29" s="104" t="s">
        <v>159</v>
      </c>
      <c r="H29" s="108" t="s">
        <v>125</v>
      </c>
      <c r="I29" s="107" t="s">
        <v>155</v>
      </c>
    </row>
    <row r="30" spans="1:9" s="97" customFormat="1" ht="78" customHeight="1">
      <c r="A30" s="84">
        <v>28</v>
      </c>
      <c r="B30" s="385"/>
      <c r="C30" s="379"/>
      <c r="D30" s="108" t="s">
        <v>145</v>
      </c>
      <c r="E30" s="106" t="s">
        <v>102</v>
      </c>
      <c r="F30" s="106">
        <v>0.87</v>
      </c>
      <c r="G30" s="104" t="s">
        <v>111</v>
      </c>
      <c r="H30" s="104" t="s">
        <v>112</v>
      </c>
      <c r="I30" s="110" t="s">
        <v>105</v>
      </c>
    </row>
    <row r="31" spans="1:9" s="97" customFormat="1" ht="76.05" customHeight="1">
      <c r="A31" s="84">
        <v>29</v>
      </c>
      <c r="B31" s="379"/>
      <c r="C31" s="388"/>
      <c r="D31" s="108" t="s">
        <v>113</v>
      </c>
      <c r="E31" s="106" t="s">
        <v>114</v>
      </c>
      <c r="F31" s="106">
        <v>1</v>
      </c>
      <c r="G31" s="104" t="s">
        <v>115</v>
      </c>
      <c r="H31" s="104" t="s">
        <v>116</v>
      </c>
      <c r="I31" s="110" t="s">
        <v>105</v>
      </c>
    </row>
    <row r="32" spans="1:9" s="97" customFormat="1" ht="62.2" customHeight="1">
      <c r="A32" s="84">
        <v>30</v>
      </c>
      <c r="B32" s="379"/>
      <c r="C32" s="107" t="s">
        <v>122</v>
      </c>
      <c r="D32" s="108" t="s">
        <v>126</v>
      </c>
      <c r="E32" s="108" t="s">
        <v>114</v>
      </c>
      <c r="F32" s="111">
        <v>0.9</v>
      </c>
      <c r="G32" s="104" t="s">
        <v>127</v>
      </c>
      <c r="H32" s="108" t="s">
        <v>128</v>
      </c>
      <c r="I32" s="107" t="s">
        <v>105</v>
      </c>
    </row>
    <row r="33" spans="1:9" s="97" customFormat="1" ht="62.2" customHeight="1">
      <c r="A33" s="84">
        <v>31</v>
      </c>
      <c r="B33" s="386"/>
      <c r="C33" s="107" t="s">
        <v>117</v>
      </c>
      <c r="D33" s="108" t="s">
        <v>118</v>
      </c>
      <c r="E33" s="106" t="s">
        <v>114</v>
      </c>
      <c r="F33" s="106"/>
      <c r="G33" s="104" t="s">
        <v>119</v>
      </c>
      <c r="H33" s="104" t="s">
        <v>120</v>
      </c>
      <c r="I33" s="107" t="s">
        <v>121</v>
      </c>
    </row>
    <row r="34" spans="1:9" s="97" customFormat="1" ht="55.05" customHeight="1">
      <c r="A34" s="84">
        <v>32</v>
      </c>
      <c r="B34" s="386"/>
      <c r="C34" s="121" t="s">
        <v>134</v>
      </c>
      <c r="D34" s="104" t="s">
        <v>156</v>
      </c>
      <c r="E34" s="121" t="s">
        <v>114</v>
      </c>
      <c r="F34" s="121" t="s">
        <v>157</v>
      </c>
      <c r="G34" s="104" t="s">
        <v>137</v>
      </c>
      <c r="H34" s="104" t="s">
        <v>138</v>
      </c>
      <c r="I34" s="121" t="s">
        <v>139</v>
      </c>
    </row>
  </sheetData>
  <mergeCells count="14">
    <mergeCell ref="A1:I1"/>
    <mergeCell ref="B3:B11"/>
    <mergeCell ref="B12:B19"/>
    <mergeCell ref="B20:B26"/>
    <mergeCell ref="B27:B34"/>
    <mergeCell ref="C3:C4"/>
    <mergeCell ref="C5:C6"/>
    <mergeCell ref="C8:C9"/>
    <mergeCell ref="C12:C13"/>
    <mergeCell ref="C16:C17"/>
    <mergeCell ref="C20:C21"/>
    <mergeCell ref="C22:C23"/>
    <mergeCell ref="C27:C28"/>
    <mergeCell ref="C29:C31"/>
  </mergeCells>
  <phoneticPr fontId="26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zoomScaleNormal="100" workbookViewId="0">
      <pane xSplit="5" ySplit="2" topLeftCell="F3" activePane="bottomRight" state="frozen"/>
      <selection pane="topRight"/>
      <selection pane="bottomLeft"/>
      <selection pane="bottomRight" activeCell="G4" sqref="G4"/>
    </sheetView>
  </sheetViews>
  <sheetFormatPr defaultColWidth="9" defaultRowHeight="16.149999999999999"/>
  <cols>
    <col min="1" max="1" width="4.75" style="63" customWidth="1"/>
    <col min="2" max="2" width="15.5" style="63" customWidth="1"/>
    <col min="3" max="3" width="11.3125" style="63" customWidth="1"/>
    <col min="4" max="4" width="36.75" style="64" customWidth="1"/>
    <col min="5" max="5" width="16" style="65" customWidth="1"/>
    <col min="6" max="6" width="6.75" style="63" customWidth="1"/>
    <col min="7" max="7" width="54.9375" style="60" customWidth="1"/>
    <col min="8" max="8" width="23.4375" style="60" customWidth="1"/>
    <col min="9" max="9" width="11.8125" style="63" customWidth="1"/>
    <col min="10" max="16384" width="9" style="60"/>
  </cols>
  <sheetData>
    <row r="1" spans="1:10" ht="30" customHeight="1">
      <c r="A1" s="374" t="s">
        <v>160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9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161</v>
      </c>
      <c r="C3" s="392" t="s">
        <v>162</v>
      </c>
      <c r="D3" s="70" t="s">
        <v>163</v>
      </c>
      <c r="E3" s="71">
        <v>0.3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3"/>
      <c r="D4" s="75" t="s">
        <v>167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60" customHeight="1">
      <c r="A5" s="68">
        <v>3</v>
      </c>
      <c r="B5" s="391"/>
      <c r="C5" s="393"/>
      <c r="D5" s="75" t="s">
        <v>169</v>
      </c>
      <c r="E5" s="71">
        <v>0.1</v>
      </c>
      <c r="F5" s="71"/>
      <c r="G5" s="70" t="s">
        <v>170</v>
      </c>
      <c r="H5" s="72" t="s">
        <v>171</v>
      </c>
      <c r="I5" s="68" t="s">
        <v>166</v>
      </c>
      <c r="J5" s="73"/>
    </row>
    <row r="6" spans="1:10" s="62" customFormat="1" ht="67.05" customHeight="1">
      <c r="A6" s="68">
        <v>4</v>
      </c>
      <c r="B6" s="391"/>
      <c r="C6" s="394" t="s">
        <v>172</v>
      </c>
      <c r="D6" s="87" t="s">
        <v>173</v>
      </c>
      <c r="E6" s="71">
        <v>0.1</v>
      </c>
      <c r="F6" s="71"/>
      <c r="G6" s="72" t="s">
        <v>174</v>
      </c>
      <c r="H6" s="89" t="s">
        <v>125</v>
      </c>
      <c r="I6" s="68" t="s">
        <v>166</v>
      </c>
    </row>
    <row r="7" spans="1:10" s="62" customFormat="1" ht="87" customHeight="1">
      <c r="A7" s="68">
        <v>5</v>
      </c>
      <c r="B7" s="391"/>
      <c r="C7" s="395"/>
      <c r="D7" s="87" t="s">
        <v>175</v>
      </c>
      <c r="E7" s="71">
        <v>0.1</v>
      </c>
      <c r="F7" s="71"/>
      <c r="G7" s="78" t="s">
        <v>176</v>
      </c>
      <c r="H7" s="79" t="s">
        <v>177</v>
      </c>
      <c r="I7" s="68" t="s">
        <v>166</v>
      </c>
    </row>
    <row r="8" spans="1:10" s="62" customFormat="1" ht="97.05" customHeight="1">
      <c r="A8" s="68">
        <v>6</v>
      </c>
      <c r="B8" s="391"/>
      <c r="C8" s="395"/>
      <c r="D8" s="87" t="s">
        <v>178</v>
      </c>
      <c r="E8" s="71">
        <v>0.1</v>
      </c>
      <c r="F8" s="71"/>
      <c r="G8" s="78" t="s">
        <v>179</v>
      </c>
      <c r="H8" s="79" t="s">
        <v>180</v>
      </c>
      <c r="I8" s="68" t="s">
        <v>166</v>
      </c>
    </row>
    <row r="9" spans="1:10" s="62" customFormat="1" ht="86" customHeight="1">
      <c r="A9" s="68">
        <v>7</v>
      </c>
      <c r="B9" s="391"/>
      <c r="C9" s="395"/>
      <c r="D9" s="81" t="s">
        <v>181</v>
      </c>
      <c r="E9" s="71">
        <v>0.1</v>
      </c>
      <c r="F9" s="82"/>
      <c r="G9" s="81" t="s">
        <v>182</v>
      </c>
      <c r="H9" s="81" t="s">
        <v>183</v>
      </c>
      <c r="I9" s="68" t="s">
        <v>166</v>
      </c>
    </row>
    <row r="10" spans="1:10" s="62" customFormat="1" ht="70.05" customHeight="1">
      <c r="A10" s="68">
        <v>8</v>
      </c>
      <c r="B10" s="391"/>
      <c r="C10" s="86" t="s">
        <v>184</v>
      </c>
      <c r="D10" s="81" t="s">
        <v>185</v>
      </c>
      <c r="E10" s="71">
        <v>0.2</v>
      </c>
      <c r="F10" s="82"/>
      <c r="G10" s="81" t="s">
        <v>186</v>
      </c>
      <c r="H10" s="81" t="s">
        <v>187</v>
      </c>
      <c r="I10" s="68" t="s">
        <v>188</v>
      </c>
    </row>
    <row r="11" spans="1:10" s="62" customFormat="1" ht="65" customHeight="1">
      <c r="A11" s="68">
        <v>9</v>
      </c>
      <c r="B11" s="391"/>
      <c r="C11" s="392" t="s">
        <v>134</v>
      </c>
      <c r="D11" s="87" t="s">
        <v>189</v>
      </c>
      <c r="E11" s="71">
        <v>0.1</v>
      </c>
      <c r="F11" s="71"/>
      <c r="G11" s="72" t="s">
        <v>190</v>
      </c>
      <c r="H11" s="72" t="s">
        <v>191</v>
      </c>
      <c r="I11" s="68" t="s">
        <v>192</v>
      </c>
    </row>
    <row r="12" spans="1:10" s="62" customFormat="1" ht="81" customHeight="1">
      <c r="A12" s="68">
        <v>10</v>
      </c>
      <c r="B12" s="391"/>
      <c r="C12" s="393"/>
      <c r="D12" s="87" t="s">
        <v>193</v>
      </c>
      <c r="E12" s="71">
        <v>0.1</v>
      </c>
      <c r="F12" s="71"/>
      <c r="G12" s="72" t="s">
        <v>194</v>
      </c>
      <c r="H12" s="72" t="s">
        <v>195</v>
      </c>
      <c r="I12" s="68" t="s">
        <v>192</v>
      </c>
    </row>
    <row r="13" spans="1:10" s="62" customFormat="1" ht="76.05" customHeight="1">
      <c r="A13" s="68">
        <v>11</v>
      </c>
      <c r="B13" s="391"/>
      <c r="C13" s="396"/>
      <c r="D13" s="87" t="s">
        <v>196</v>
      </c>
      <c r="E13" s="71">
        <v>0.1</v>
      </c>
      <c r="F13" s="71"/>
      <c r="G13" s="72" t="s">
        <v>197</v>
      </c>
      <c r="H13" s="72" t="s">
        <v>198</v>
      </c>
      <c r="I13" s="68" t="s">
        <v>192</v>
      </c>
    </row>
    <row r="14" spans="1:10" s="62" customFormat="1" ht="47.55" customHeight="1">
      <c r="A14" s="68">
        <v>12</v>
      </c>
      <c r="B14" s="391"/>
      <c r="C14" s="84" t="s">
        <v>199</v>
      </c>
      <c r="D14" s="83" t="s">
        <v>200</v>
      </c>
      <c r="E14" s="71">
        <v>0.1</v>
      </c>
      <c r="F14" s="82"/>
      <c r="G14" s="81" t="s">
        <v>201</v>
      </c>
      <c r="H14" s="81" t="s">
        <v>202</v>
      </c>
      <c r="I14" s="68" t="s">
        <v>203</v>
      </c>
    </row>
    <row r="15" spans="1:10">
      <c r="E15" s="85">
        <f>SUM(E3:E14)</f>
        <v>1.5</v>
      </c>
    </row>
  </sheetData>
  <mergeCells count="5">
    <mergeCell ref="A1:I1"/>
    <mergeCell ref="B3:B14"/>
    <mergeCell ref="C3:C5"/>
    <mergeCell ref="C6:C9"/>
    <mergeCell ref="C11:C13"/>
  </mergeCells>
  <phoneticPr fontId="2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zoomScale="70" zoomScaleNormal="70" workbookViewId="0">
      <pane xSplit="5" ySplit="2" topLeftCell="F7" activePane="bottomRight" state="frozen"/>
      <selection pane="topRight"/>
      <selection pane="bottomLeft"/>
      <selection pane="bottomRight" activeCell="G17" sqref="G17"/>
    </sheetView>
  </sheetViews>
  <sheetFormatPr defaultColWidth="9" defaultRowHeight="16.149999999999999"/>
  <cols>
    <col min="1" max="1" width="4.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9.8125" style="60" customWidth="1"/>
    <col min="8" max="8" width="19.5" style="60" customWidth="1"/>
    <col min="9" max="9" width="11.8125" style="63" customWidth="1"/>
    <col min="10" max="16384" width="9" style="60"/>
  </cols>
  <sheetData>
    <row r="1" spans="1:10" ht="30" customHeight="1">
      <c r="A1" s="374" t="s">
        <v>204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205</v>
      </c>
      <c r="C3" s="392" t="s">
        <v>162</v>
      </c>
      <c r="D3" s="70" t="s">
        <v>163</v>
      </c>
      <c r="E3" s="71"/>
      <c r="F3" s="71"/>
      <c r="G3" s="70" t="s">
        <v>206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3"/>
      <c r="D4" s="75" t="s">
        <v>207</v>
      </c>
      <c r="E4" s="90"/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67.05" customHeight="1">
      <c r="A5" s="68">
        <v>3</v>
      </c>
      <c r="B5" s="391"/>
      <c r="C5" s="394" t="s">
        <v>172</v>
      </c>
      <c r="D5" s="87" t="s">
        <v>173</v>
      </c>
      <c r="E5" s="71"/>
      <c r="F5" s="71"/>
      <c r="G5" s="72" t="s">
        <v>208</v>
      </c>
      <c r="H5" s="88" t="s">
        <v>125</v>
      </c>
      <c r="I5" s="68" t="s">
        <v>166</v>
      </c>
    </row>
    <row r="6" spans="1:10" s="62" customFormat="1" ht="85.05" customHeight="1">
      <c r="A6" s="68">
        <v>4</v>
      </c>
      <c r="B6" s="391"/>
      <c r="C6" s="395"/>
      <c r="D6" s="81" t="s">
        <v>209</v>
      </c>
      <c r="E6" s="82"/>
      <c r="F6" s="82"/>
      <c r="G6" s="81" t="s">
        <v>210</v>
      </c>
      <c r="H6" s="81" t="s">
        <v>211</v>
      </c>
      <c r="I6" s="68" t="s">
        <v>166</v>
      </c>
    </row>
    <row r="7" spans="1:10" s="62" customFormat="1" ht="78" customHeight="1">
      <c r="A7" s="68">
        <v>5</v>
      </c>
      <c r="B7" s="391"/>
      <c r="C7" s="395"/>
      <c r="D7" s="75" t="s">
        <v>212</v>
      </c>
      <c r="E7" s="77"/>
      <c r="F7" s="77"/>
      <c r="G7" s="78" t="s">
        <v>213</v>
      </c>
      <c r="H7" s="79" t="s">
        <v>214</v>
      </c>
      <c r="I7" s="68" t="s">
        <v>166</v>
      </c>
    </row>
    <row r="8" spans="1:10" s="62" customFormat="1" ht="78" customHeight="1">
      <c r="A8" s="68">
        <v>6</v>
      </c>
      <c r="B8" s="391"/>
      <c r="C8" s="395"/>
      <c r="D8" s="75" t="s">
        <v>215</v>
      </c>
      <c r="E8" s="77"/>
      <c r="F8" s="77"/>
      <c r="G8" s="78" t="s">
        <v>216</v>
      </c>
      <c r="H8" s="79" t="s">
        <v>177</v>
      </c>
      <c r="I8" s="68" t="s">
        <v>166</v>
      </c>
    </row>
    <row r="9" spans="1:10" s="62" customFormat="1" ht="61.5" customHeight="1">
      <c r="A9" s="68">
        <v>7</v>
      </c>
      <c r="B9" s="391"/>
      <c r="C9" s="68" t="s">
        <v>134</v>
      </c>
      <c r="D9" s="87" t="s">
        <v>189</v>
      </c>
      <c r="E9" s="71"/>
      <c r="F9" s="71"/>
      <c r="G9" s="72" t="s">
        <v>217</v>
      </c>
      <c r="H9" s="72" t="s">
        <v>191</v>
      </c>
      <c r="I9" s="68" t="s">
        <v>192</v>
      </c>
    </row>
    <row r="10" spans="1:10" s="62" customFormat="1" ht="44" customHeight="1">
      <c r="A10" s="68">
        <v>8</v>
      </c>
      <c r="B10" s="391"/>
      <c r="C10" s="84" t="s">
        <v>199</v>
      </c>
      <c r="D10" s="83" t="s">
        <v>200</v>
      </c>
      <c r="E10" s="82"/>
      <c r="F10" s="82"/>
      <c r="G10" s="81" t="s">
        <v>201</v>
      </c>
      <c r="H10" s="81" t="s">
        <v>202</v>
      </c>
      <c r="I10" s="68" t="s">
        <v>203</v>
      </c>
    </row>
  </sheetData>
  <mergeCells count="4">
    <mergeCell ref="A1:I1"/>
    <mergeCell ref="B3:B10"/>
    <mergeCell ref="C3:C4"/>
    <mergeCell ref="C5:C8"/>
  </mergeCells>
  <phoneticPr fontId="2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zoomScale="80" zoomScaleNormal="80" workbookViewId="0">
      <pane xSplit="5" ySplit="2" topLeftCell="F10" activePane="bottomRight" state="frozen"/>
      <selection pane="topRight"/>
      <selection pane="bottomLeft"/>
      <selection pane="bottomRight" activeCell="G13" sqref="G13:I13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218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54" customHeight="1">
      <c r="A3" s="68">
        <v>1</v>
      </c>
      <c r="B3" s="391" t="s">
        <v>219</v>
      </c>
      <c r="C3" s="392" t="s">
        <v>162</v>
      </c>
      <c r="D3" s="70" t="s">
        <v>163</v>
      </c>
      <c r="E3" s="71">
        <v>0.3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3"/>
      <c r="D4" s="75" t="s">
        <v>167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48" customHeight="1">
      <c r="A5" s="68">
        <v>3</v>
      </c>
      <c r="B5" s="391"/>
      <c r="C5" s="74"/>
      <c r="D5" s="75" t="s">
        <v>169</v>
      </c>
      <c r="E5" s="71">
        <v>0.1</v>
      </c>
      <c r="F5" s="71"/>
      <c r="G5" s="70" t="s">
        <v>220</v>
      </c>
      <c r="H5" s="72" t="s">
        <v>171</v>
      </c>
      <c r="I5" s="68" t="s">
        <v>166</v>
      </c>
      <c r="J5" s="73"/>
    </row>
    <row r="6" spans="1:10" s="62" customFormat="1" ht="56" customHeight="1">
      <c r="A6" s="68">
        <v>4</v>
      </c>
      <c r="B6" s="391"/>
      <c r="C6" s="68" t="s">
        <v>221</v>
      </c>
      <c r="D6" s="75" t="s">
        <v>222</v>
      </c>
      <c r="E6" s="71">
        <v>0.1</v>
      </c>
      <c r="F6" s="71"/>
      <c r="G6" s="70" t="s">
        <v>223</v>
      </c>
      <c r="H6" s="72" t="s">
        <v>224</v>
      </c>
      <c r="I6" s="68" t="s">
        <v>166</v>
      </c>
      <c r="J6" s="73"/>
    </row>
    <row r="7" spans="1:10" s="62" customFormat="1" ht="82.05" customHeight="1">
      <c r="A7" s="68">
        <v>5</v>
      </c>
      <c r="B7" s="391"/>
      <c r="C7" s="394" t="s">
        <v>172</v>
      </c>
      <c r="D7" s="75" t="s">
        <v>225</v>
      </c>
      <c r="E7" s="71">
        <v>0.1</v>
      </c>
      <c r="F7" s="77"/>
      <c r="G7" s="78" t="s">
        <v>226</v>
      </c>
      <c r="H7" s="79" t="s">
        <v>227</v>
      </c>
      <c r="I7" s="68" t="s">
        <v>166</v>
      </c>
    </row>
    <row r="8" spans="1:10" s="62" customFormat="1" ht="80" customHeight="1">
      <c r="A8" s="68">
        <v>6</v>
      </c>
      <c r="B8" s="391"/>
      <c r="C8" s="395"/>
      <c r="D8" s="75" t="s">
        <v>228</v>
      </c>
      <c r="E8" s="71">
        <v>0.1</v>
      </c>
      <c r="F8" s="77"/>
      <c r="G8" s="78" t="s">
        <v>229</v>
      </c>
      <c r="H8" s="79" t="s">
        <v>230</v>
      </c>
      <c r="I8" s="68" t="s">
        <v>166</v>
      </c>
    </row>
    <row r="9" spans="1:10" s="62" customFormat="1" ht="80" customHeight="1">
      <c r="A9" s="68">
        <v>7</v>
      </c>
      <c r="B9" s="391"/>
      <c r="C9" s="395"/>
      <c r="D9" s="75" t="s">
        <v>231</v>
      </c>
      <c r="E9" s="71">
        <v>0.1</v>
      </c>
      <c r="F9" s="77"/>
      <c r="G9" s="78" t="s">
        <v>232</v>
      </c>
      <c r="H9" s="79" t="s">
        <v>233</v>
      </c>
      <c r="I9" s="68" t="s">
        <v>166</v>
      </c>
    </row>
    <row r="10" spans="1:10" s="62" customFormat="1" ht="80" customHeight="1">
      <c r="A10" s="68">
        <v>8</v>
      </c>
      <c r="B10" s="391"/>
      <c r="C10" s="395"/>
      <c r="D10" s="75" t="s">
        <v>234</v>
      </c>
      <c r="E10" s="71">
        <v>0.1</v>
      </c>
      <c r="F10" s="77"/>
      <c r="G10" s="78" t="s">
        <v>235</v>
      </c>
      <c r="H10" s="79" t="s">
        <v>236</v>
      </c>
      <c r="I10" s="68" t="s">
        <v>166</v>
      </c>
    </row>
    <row r="11" spans="1:10" s="62" customFormat="1" ht="82.05" customHeight="1">
      <c r="A11" s="68">
        <v>9</v>
      </c>
      <c r="B11" s="391"/>
      <c r="C11" s="395"/>
      <c r="D11" s="75" t="s">
        <v>237</v>
      </c>
      <c r="E11" s="71">
        <v>0.1</v>
      </c>
      <c r="F11" s="77"/>
      <c r="G11" s="78" t="s">
        <v>238</v>
      </c>
      <c r="H11" s="79" t="s">
        <v>239</v>
      </c>
      <c r="I11" s="68" t="s">
        <v>166</v>
      </c>
    </row>
    <row r="12" spans="1:10" s="62" customFormat="1" ht="57" customHeight="1">
      <c r="A12" s="68">
        <v>10</v>
      </c>
      <c r="B12" s="391"/>
      <c r="C12" s="395"/>
      <c r="D12" s="75" t="s">
        <v>240</v>
      </c>
      <c r="E12" s="71">
        <v>0.1</v>
      </c>
      <c r="F12" s="77"/>
      <c r="G12" s="78" t="s">
        <v>241</v>
      </c>
      <c r="H12" s="79" t="s">
        <v>242</v>
      </c>
      <c r="I12" s="68" t="s">
        <v>166</v>
      </c>
    </row>
    <row r="13" spans="1:10" s="62" customFormat="1" ht="82.05" customHeight="1">
      <c r="A13" s="68">
        <v>11</v>
      </c>
      <c r="B13" s="391"/>
      <c r="C13" s="395"/>
      <c r="D13" s="75" t="s">
        <v>243</v>
      </c>
      <c r="E13" s="71">
        <v>0.1</v>
      </c>
      <c r="F13" s="77"/>
      <c r="G13" s="78" t="s">
        <v>244</v>
      </c>
      <c r="H13" s="79" t="s">
        <v>245</v>
      </c>
      <c r="I13" s="68" t="s">
        <v>166</v>
      </c>
    </row>
    <row r="14" spans="1:10" s="62" customFormat="1" ht="86" customHeight="1">
      <c r="A14" s="68">
        <v>12</v>
      </c>
      <c r="B14" s="391"/>
      <c r="C14" s="395"/>
      <c r="D14" s="81" t="s">
        <v>246</v>
      </c>
      <c r="E14" s="71">
        <v>0.1</v>
      </c>
      <c r="F14" s="82"/>
      <c r="G14" s="81" t="s">
        <v>247</v>
      </c>
      <c r="H14" s="81" t="s">
        <v>248</v>
      </c>
      <c r="I14" s="68" t="s">
        <v>166</v>
      </c>
    </row>
    <row r="15" spans="1:10" s="62" customFormat="1" ht="62" customHeight="1">
      <c r="A15" s="68">
        <v>13</v>
      </c>
      <c r="B15" s="391"/>
      <c r="C15" s="394" t="s">
        <v>184</v>
      </c>
      <c r="D15" s="81" t="s">
        <v>249</v>
      </c>
      <c r="E15" s="71">
        <v>0.1</v>
      </c>
      <c r="F15" s="82"/>
      <c r="G15" s="81" t="s">
        <v>250</v>
      </c>
      <c r="H15" s="81" t="s">
        <v>187</v>
      </c>
      <c r="I15" s="68" t="s">
        <v>188</v>
      </c>
    </row>
    <row r="16" spans="1:10" s="62" customFormat="1" ht="62" customHeight="1">
      <c r="A16" s="68">
        <v>14</v>
      </c>
      <c r="B16" s="391"/>
      <c r="C16" s="397"/>
      <c r="D16" s="81" t="s">
        <v>251</v>
      </c>
      <c r="E16" s="71">
        <v>0.1</v>
      </c>
      <c r="F16" s="82"/>
      <c r="G16" s="81" t="s">
        <v>252</v>
      </c>
      <c r="H16" s="81" t="s">
        <v>187</v>
      </c>
      <c r="I16" s="68" t="s">
        <v>188</v>
      </c>
    </row>
    <row r="17" spans="1:9" s="62" customFormat="1" ht="53" customHeight="1">
      <c r="A17" s="68">
        <v>15</v>
      </c>
      <c r="B17" s="391"/>
      <c r="C17" s="395" t="s">
        <v>117</v>
      </c>
      <c r="D17" s="83" t="s">
        <v>253</v>
      </c>
      <c r="E17" s="71">
        <v>0.1</v>
      </c>
      <c r="F17" s="82"/>
      <c r="G17" s="70" t="s">
        <v>254</v>
      </c>
      <c r="H17" s="81" t="s">
        <v>255</v>
      </c>
      <c r="I17" s="68" t="s">
        <v>166</v>
      </c>
    </row>
    <row r="18" spans="1:9" s="62" customFormat="1" ht="62" customHeight="1">
      <c r="A18" s="68">
        <v>16</v>
      </c>
      <c r="B18" s="391"/>
      <c r="C18" s="397"/>
      <c r="D18" s="83" t="s">
        <v>256</v>
      </c>
      <c r="E18" s="71">
        <v>0.1</v>
      </c>
      <c r="F18" s="82"/>
      <c r="G18" s="70" t="s">
        <v>257</v>
      </c>
      <c r="H18" s="81" t="s">
        <v>258</v>
      </c>
      <c r="I18" s="68" t="s">
        <v>166</v>
      </c>
    </row>
    <row r="19" spans="1:9" s="62" customFormat="1" ht="74" customHeight="1">
      <c r="A19" s="68">
        <v>17</v>
      </c>
      <c r="B19" s="391"/>
      <c r="C19" s="392" t="s">
        <v>134</v>
      </c>
      <c r="D19" s="87" t="s">
        <v>189</v>
      </c>
      <c r="E19" s="71">
        <v>0.1</v>
      </c>
      <c r="F19" s="71"/>
      <c r="G19" s="72" t="s">
        <v>190</v>
      </c>
      <c r="H19" s="72" t="s">
        <v>191</v>
      </c>
      <c r="I19" s="68" t="s">
        <v>192</v>
      </c>
    </row>
    <row r="20" spans="1:9" s="62" customFormat="1" ht="72" customHeight="1">
      <c r="A20" s="68">
        <v>18</v>
      </c>
      <c r="B20" s="391"/>
      <c r="C20" s="393"/>
      <c r="D20" s="87" t="s">
        <v>193</v>
      </c>
      <c r="E20" s="71">
        <v>0.1</v>
      </c>
      <c r="F20" s="71"/>
      <c r="G20" s="72" t="s">
        <v>194</v>
      </c>
      <c r="H20" s="72" t="s">
        <v>195</v>
      </c>
      <c r="I20" s="68" t="s">
        <v>192</v>
      </c>
    </row>
    <row r="21" spans="1:9" s="62" customFormat="1" ht="77" customHeight="1">
      <c r="A21" s="68">
        <v>19</v>
      </c>
      <c r="B21" s="391"/>
      <c r="C21" s="396"/>
      <c r="D21" s="87" t="s">
        <v>259</v>
      </c>
      <c r="E21" s="71">
        <v>0.1</v>
      </c>
      <c r="F21" s="71"/>
      <c r="G21" s="72" t="s">
        <v>197</v>
      </c>
      <c r="H21" s="72" t="s">
        <v>198</v>
      </c>
      <c r="I21" s="68" t="s">
        <v>192</v>
      </c>
    </row>
    <row r="22" spans="1:9" s="62" customFormat="1" ht="52.05" customHeight="1">
      <c r="A22" s="68">
        <v>20</v>
      </c>
      <c r="B22" s="391"/>
      <c r="C22" s="84" t="s">
        <v>199</v>
      </c>
      <c r="D22" s="83" t="s">
        <v>200</v>
      </c>
      <c r="E22" s="71">
        <v>0.1</v>
      </c>
      <c r="F22" s="82"/>
      <c r="G22" s="81" t="s">
        <v>201</v>
      </c>
      <c r="H22" s="81" t="s">
        <v>202</v>
      </c>
      <c r="I22" s="68" t="s">
        <v>203</v>
      </c>
    </row>
    <row r="23" spans="1:9">
      <c r="E23" s="85">
        <f>SUM(E3:E22)</f>
        <v>2.2000000000000002</v>
      </c>
    </row>
  </sheetData>
  <mergeCells count="7">
    <mergeCell ref="A1:I1"/>
    <mergeCell ref="B3:B22"/>
    <mergeCell ref="C3:C4"/>
    <mergeCell ref="C7:C14"/>
    <mergeCell ref="C15:C16"/>
    <mergeCell ref="C17:C18"/>
    <mergeCell ref="C19:C21"/>
  </mergeCells>
  <phoneticPr fontId="2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zoomScale="80" zoomScaleNormal="80" workbookViewId="0">
      <pane xSplit="5" ySplit="2" topLeftCell="F9" activePane="bottomRight" state="frozen"/>
      <selection pane="topRight"/>
      <selection pane="bottomLeft"/>
      <selection pane="bottomRight" activeCell="G14" sqref="G14"/>
    </sheetView>
  </sheetViews>
  <sheetFormatPr defaultColWidth="9" defaultRowHeight="16.149999999999999"/>
  <cols>
    <col min="1" max="1" width="5.8125" style="63" customWidth="1"/>
    <col min="2" max="2" width="13.75" style="63" customWidth="1"/>
    <col min="3" max="3" width="11.3125" style="63" customWidth="1"/>
    <col min="4" max="4" width="36.75" style="64" customWidth="1"/>
    <col min="5" max="5" width="6.25" style="65" customWidth="1"/>
    <col min="6" max="6" width="13.625" style="63" customWidth="1"/>
    <col min="7" max="7" width="57.3125" style="60" customWidth="1"/>
    <col min="8" max="8" width="21" style="60" customWidth="1"/>
    <col min="9" max="9" width="11.8125" style="63" customWidth="1"/>
    <col min="10" max="16384" width="9" style="60"/>
  </cols>
  <sheetData>
    <row r="1" spans="1:10" ht="30" customHeight="1">
      <c r="A1" s="374" t="s">
        <v>260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8" customHeight="1">
      <c r="A3" s="68">
        <v>1</v>
      </c>
      <c r="B3" s="391" t="s">
        <v>261</v>
      </c>
      <c r="C3" s="392" t="s">
        <v>162</v>
      </c>
      <c r="D3" s="70" t="s">
        <v>163</v>
      </c>
      <c r="E3" s="71">
        <v>0.4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57.5" customHeight="1">
      <c r="A4" s="68">
        <v>2</v>
      </c>
      <c r="B4" s="391"/>
      <c r="C4" s="393"/>
      <c r="D4" s="75" t="s">
        <v>167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57.5" customHeight="1">
      <c r="A5" s="68">
        <v>3</v>
      </c>
      <c r="B5" s="391"/>
      <c r="C5" s="393"/>
      <c r="D5" s="75" t="s">
        <v>169</v>
      </c>
      <c r="E5" s="71">
        <v>0.1</v>
      </c>
      <c r="F5" s="71"/>
      <c r="G5" s="70" t="s">
        <v>170</v>
      </c>
      <c r="H5" s="72" t="s">
        <v>171</v>
      </c>
      <c r="I5" s="68" t="s">
        <v>166</v>
      </c>
      <c r="J5" s="73"/>
    </row>
    <row r="6" spans="1:10" s="62" customFormat="1" ht="68" customHeight="1">
      <c r="A6" s="68">
        <v>4</v>
      </c>
      <c r="B6" s="391"/>
      <c r="C6" s="394" t="s">
        <v>172</v>
      </c>
      <c r="D6" s="87" t="s">
        <v>173</v>
      </c>
      <c r="E6" s="71">
        <v>0.1</v>
      </c>
      <c r="F6" s="71"/>
      <c r="G6" s="72" t="s">
        <v>174</v>
      </c>
      <c r="H6" s="89" t="s">
        <v>125</v>
      </c>
      <c r="I6" s="68" t="s">
        <v>166</v>
      </c>
    </row>
    <row r="7" spans="1:10" s="62" customFormat="1" ht="76.5" customHeight="1">
      <c r="A7" s="68">
        <v>5</v>
      </c>
      <c r="B7" s="391"/>
      <c r="C7" s="395"/>
      <c r="D7" s="81" t="s">
        <v>181</v>
      </c>
      <c r="E7" s="71">
        <v>0.1</v>
      </c>
      <c r="F7" s="82"/>
      <c r="G7" s="81" t="s">
        <v>182</v>
      </c>
      <c r="H7" s="81" t="s">
        <v>183</v>
      </c>
      <c r="I7" s="68" t="s">
        <v>166</v>
      </c>
    </row>
    <row r="8" spans="1:10" s="62" customFormat="1" ht="74.55" customHeight="1">
      <c r="A8" s="68">
        <v>6</v>
      </c>
      <c r="B8" s="391"/>
      <c r="C8" s="395"/>
      <c r="D8" s="83" t="s">
        <v>175</v>
      </c>
      <c r="E8" s="71">
        <v>0.1</v>
      </c>
      <c r="F8" s="82"/>
      <c r="G8" s="78" t="s">
        <v>176</v>
      </c>
      <c r="H8" s="79" t="s">
        <v>177</v>
      </c>
      <c r="I8" s="68" t="s">
        <v>166</v>
      </c>
    </row>
    <row r="9" spans="1:10" s="62" customFormat="1" ht="79.05" customHeight="1">
      <c r="A9" s="68">
        <v>7</v>
      </c>
      <c r="B9" s="391"/>
      <c r="C9" s="395"/>
      <c r="D9" s="83" t="s">
        <v>178</v>
      </c>
      <c r="E9" s="71">
        <v>0.1</v>
      </c>
      <c r="F9" s="92"/>
      <c r="G9" s="78" t="s">
        <v>179</v>
      </c>
      <c r="H9" s="79" t="s">
        <v>180</v>
      </c>
      <c r="I9" s="68" t="s">
        <v>166</v>
      </c>
    </row>
    <row r="10" spans="1:10" s="62" customFormat="1" ht="91.05" customHeight="1">
      <c r="A10" s="68">
        <v>8</v>
      </c>
      <c r="B10" s="391"/>
      <c r="C10" s="395"/>
      <c r="D10" s="83" t="s">
        <v>243</v>
      </c>
      <c r="E10" s="71">
        <v>0.1</v>
      </c>
      <c r="F10" s="92" t="s">
        <v>262</v>
      </c>
      <c r="G10" s="78" t="s">
        <v>244</v>
      </c>
      <c r="H10" s="79" t="s">
        <v>245</v>
      </c>
      <c r="I10" s="68" t="s">
        <v>166</v>
      </c>
    </row>
    <row r="11" spans="1:10" s="62" customFormat="1" ht="69.5" customHeight="1">
      <c r="A11" s="68">
        <v>9</v>
      </c>
      <c r="B11" s="391"/>
      <c r="C11" s="86" t="s">
        <v>184</v>
      </c>
      <c r="D11" s="81" t="s">
        <v>185</v>
      </c>
      <c r="E11" s="71">
        <v>0.2</v>
      </c>
      <c r="F11" s="92"/>
      <c r="G11" s="81" t="s">
        <v>186</v>
      </c>
      <c r="H11" s="81" t="s">
        <v>187</v>
      </c>
      <c r="I11" s="68" t="s">
        <v>188</v>
      </c>
    </row>
    <row r="12" spans="1:10" s="62" customFormat="1" ht="66" customHeight="1">
      <c r="A12" s="68">
        <v>10</v>
      </c>
      <c r="B12" s="391"/>
      <c r="C12" s="392" t="s">
        <v>134</v>
      </c>
      <c r="D12" s="81" t="s">
        <v>189</v>
      </c>
      <c r="E12" s="71">
        <v>0.1</v>
      </c>
      <c r="F12" s="71"/>
      <c r="G12" s="72" t="s">
        <v>190</v>
      </c>
      <c r="H12" s="72" t="s">
        <v>191</v>
      </c>
      <c r="I12" s="68" t="s">
        <v>192</v>
      </c>
    </row>
    <row r="13" spans="1:10" s="62" customFormat="1" ht="58.05" customHeight="1">
      <c r="A13" s="68">
        <v>11</v>
      </c>
      <c r="B13" s="391"/>
      <c r="C13" s="393"/>
      <c r="D13" s="81" t="s">
        <v>193</v>
      </c>
      <c r="E13" s="71">
        <v>0.1</v>
      </c>
      <c r="F13" s="71"/>
      <c r="G13" s="72" t="s">
        <v>194</v>
      </c>
      <c r="H13" s="72" t="s">
        <v>195</v>
      </c>
      <c r="I13" s="68" t="s">
        <v>192</v>
      </c>
    </row>
    <row r="14" spans="1:10" s="62" customFormat="1" ht="58.05" customHeight="1">
      <c r="A14" s="68">
        <v>12</v>
      </c>
      <c r="B14" s="391"/>
      <c r="C14" s="393"/>
      <c r="D14" s="81" t="s">
        <v>196</v>
      </c>
      <c r="E14" s="71">
        <v>0.1</v>
      </c>
      <c r="F14" s="71"/>
      <c r="G14" s="72" t="s">
        <v>197</v>
      </c>
      <c r="H14" s="72" t="s">
        <v>198</v>
      </c>
      <c r="I14" s="68" t="s">
        <v>192</v>
      </c>
    </row>
    <row r="15" spans="1:10" s="62" customFormat="1" ht="64.05" customHeight="1">
      <c r="A15" s="68">
        <v>13</v>
      </c>
      <c r="B15" s="391"/>
      <c r="C15" s="396"/>
      <c r="D15" s="81" t="s">
        <v>263</v>
      </c>
      <c r="E15" s="71">
        <v>0.1</v>
      </c>
      <c r="F15" s="71"/>
      <c r="G15" s="72" t="s">
        <v>264</v>
      </c>
      <c r="H15" s="72" t="s">
        <v>265</v>
      </c>
      <c r="I15" s="68" t="s">
        <v>192</v>
      </c>
    </row>
    <row r="16" spans="1:10" s="62" customFormat="1" ht="40.049999999999997" customHeight="1">
      <c r="A16" s="68">
        <v>14</v>
      </c>
      <c r="B16" s="391"/>
      <c r="C16" s="84" t="s">
        <v>199</v>
      </c>
      <c r="D16" s="83" t="s">
        <v>200</v>
      </c>
      <c r="E16" s="82">
        <v>0.1</v>
      </c>
      <c r="F16" s="82"/>
      <c r="G16" s="81" t="s">
        <v>201</v>
      </c>
      <c r="H16" s="81" t="s">
        <v>202</v>
      </c>
      <c r="I16" s="68" t="s">
        <v>203</v>
      </c>
    </row>
    <row r="17" spans="5:5">
      <c r="E17" s="85">
        <f>SUM(E3:E16)</f>
        <v>1.8</v>
      </c>
    </row>
  </sheetData>
  <mergeCells count="5">
    <mergeCell ref="A1:I1"/>
    <mergeCell ref="B3:B16"/>
    <mergeCell ref="C3:C5"/>
    <mergeCell ref="C6:C10"/>
    <mergeCell ref="C12:C15"/>
  </mergeCells>
  <phoneticPr fontId="2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zoomScale="60" zoomScaleNormal="60" workbookViewId="0">
      <pane xSplit="5" ySplit="2" topLeftCell="F6" activePane="bottomRight" state="frozen"/>
      <selection pane="topRight"/>
      <selection pane="bottomLeft"/>
      <selection pane="bottomRight" activeCell="G13" sqref="G13"/>
    </sheetView>
  </sheetViews>
  <sheetFormatPr defaultColWidth="9" defaultRowHeight="16.149999999999999"/>
  <cols>
    <col min="1" max="1" width="4.75" style="63" customWidth="1"/>
    <col min="2" max="2" width="13.7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69.4375" style="60" customWidth="1"/>
    <col min="8" max="8" width="28.3125" style="60" customWidth="1"/>
    <col min="9" max="9" width="11.8125" style="63" customWidth="1"/>
    <col min="10" max="16384" width="9" style="60"/>
  </cols>
  <sheetData>
    <row r="1" spans="1:10" ht="30" customHeight="1">
      <c r="A1" s="374" t="s">
        <v>266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267</v>
      </c>
      <c r="C3" s="392" t="s">
        <v>162</v>
      </c>
      <c r="D3" s="70" t="s">
        <v>163</v>
      </c>
      <c r="E3" s="90" t="s">
        <v>268</v>
      </c>
      <c r="F3" s="71"/>
      <c r="G3" s="70" t="s">
        <v>269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6"/>
      <c r="D4" s="75" t="s">
        <v>207</v>
      </c>
      <c r="E4" s="90"/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67.05" customHeight="1">
      <c r="A5" s="68">
        <v>3</v>
      </c>
      <c r="B5" s="391"/>
      <c r="C5" s="394" t="s">
        <v>172</v>
      </c>
      <c r="D5" s="87" t="s">
        <v>173</v>
      </c>
      <c r="E5" s="90"/>
      <c r="F5" s="71"/>
      <c r="G5" s="72" t="s">
        <v>270</v>
      </c>
      <c r="H5" s="88" t="s">
        <v>125</v>
      </c>
      <c r="I5" s="68" t="s">
        <v>166</v>
      </c>
    </row>
    <row r="6" spans="1:10" s="62" customFormat="1" ht="86" customHeight="1">
      <c r="A6" s="68">
        <v>4</v>
      </c>
      <c r="B6" s="391"/>
      <c r="C6" s="395"/>
      <c r="D6" s="81" t="s">
        <v>209</v>
      </c>
      <c r="E6" s="82">
        <v>0.3</v>
      </c>
      <c r="F6" s="84">
        <v>20</v>
      </c>
      <c r="G6" s="81" t="s">
        <v>210</v>
      </c>
      <c r="H6" s="81" t="s">
        <v>211</v>
      </c>
      <c r="I6" s="68" t="s">
        <v>166</v>
      </c>
    </row>
    <row r="7" spans="1:10" s="62" customFormat="1" ht="78" customHeight="1">
      <c r="A7" s="68">
        <v>5</v>
      </c>
      <c r="B7" s="391"/>
      <c r="C7" s="395"/>
      <c r="D7" s="91" t="s">
        <v>215</v>
      </c>
      <c r="E7" s="92">
        <v>0.4</v>
      </c>
      <c r="F7" s="93">
        <v>2</v>
      </c>
      <c r="G7" s="94" t="s">
        <v>271</v>
      </c>
      <c r="H7" s="95" t="s">
        <v>177</v>
      </c>
      <c r="I7" s="68" t="s">
        <v>166</v>
      </c>
    </row>
    <row r="8" spans="1:10" s="62" customFormat="1" ht="78" customHeight="1">
      <c r="A8" s="68">
        <v>6</v>
      </c>
      <c r="B8" s="391"/>
      <c r="C8" s="80"/>
      <c r="D8" s="91" t="s">
        <v>272</v>
      </c>
      <c r="E8" s="92">
        <v>0.3</v>
      </c>
      <c r="F8" s="93">
        <v>100</v>
      </c>
      <c r="G8" s="94" t="s">
        <v>273</v>
      </c>
      <c r="H8" s="95" t="s">
        <v>274</v>
      </c>
      <c r="I8" s="68" t="s">
        <v>166</v>
      </c>
    </row>
    <row r="9" spans="1:10" s="62" customFormat="1" ht="81" customHeight="1">
      <c r="A9" s="68">
        <v>7</v>
      </c>
      <c r="B9" s="391"/>
      <c r="C9" s="84" t="s">
        <v>117</v>
      </c>
      <c r="D9" s="83" t="s">
        <v>275</v>
      </c>
      <c r="E9" s="82"/>
      <c r="F9" s="82"/>
      <c r="G9" s="81" t="s">
        <v>276</v>
      </c>
      <c r="H9" s="81" t="s">
        <v>120</v>
      </c>
      <c r="I9" s="68" t="s">
        <v>166</v>
      </c>
    </row>
    <row r="10" spans="1:10" s="62" customFormat="1" ht="66" customHeight="1">
      <c r="A10" s="68">
        <v>8</v>
      </c>
      <c r="B10" s="391"/>
      <c r="C10" s="68" t="s">
        <v>134</v>
      </c>
      <c r="D10" s="87" t="s">
        <v>277</v>
      </c>
      <c r="E10" s="71"/>
      <c r="F10" s="71"/>
      <c r="G10" s="72" t="s">
        <v>278</v>
      </c>
      <c r="H10" s="72" t="s">
        <v>191</v>
      </c>
      <c r="I10" s="68" t="s">
        <v>192</v>
      </c>
    </row>
    <row r="11" spans="1:10" s="62" customFormat="1" ht="41.55" customHeight="1">
      <c r="A11" s="68">
        <v>9</v>
      </c>
      <c r="B11" s="391"/>
      <c r="C11" s="84" t="s">
        <v>199</v>
      </c>
      <c r="D11" s="83" t="s">
        <v>200</v>
      </c>
      <c r="E11" s="82"/>
      <c r="F11" s="82"/>
      <c r="G11" s="81" t="s">
        <v>201</v>
      </c>
      <c r="H11" s="81" t="s">
        <v>202</v>
      </c>
      <c r="I11" s="68" t="s">
        <v>203</v>
      </c>
    </row>
  </sheetData>
  <mergeCells count="4">
    <mergeCell ref="A1:I1"/>
    <mergeCell ref="B3:B11"/>
    <mergeCell ref="C3:C4"/>
    <mergeCell ref="C5:C7"/>
  </mergeCells>
  <phoneticPr fontId="2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zoomScale="80" zoomScaleNormal="80" workbookViewId="0">
      <pane xSplit="5" ySplit="2" topLeftCell="F14" activePane="bottomRight" state="frozen"/>
      <selection pane="topRight"/>
      <selection pane="bottomLeft"/>
      <selection pane="bottomRight" activeCell="D3" sqref="D3:H15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279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280</v>
      </c>
      <c r="C3" s="392" t="s">
        <v>162</v>
      </c>
      <c r="D3" s="70" t="s">
        <v>163</v>
      </c>
      <c r="E3" s="71">
        <v>0.3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3"/>
      <c r="D4" s="75" t="s">
        <v>167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48" customHeight="1">
      <c r="A5" s="68">
        <v>3</v>
      </c>
      <c r="B5" s="391"/>
      <c r="C5" s="74"/>
      <c r="D5" s="75" t="s">
        <v>169</v>
      </c>
      <c r="E5" s="71">
        <v>0.1</v>
      </c>
      <c r="F5" s="71"/>
      <c r="G5" s="70" t="s">
        <v>220</v>
      </c>
      <c r="H5" s="72" t="s">
        <v>171</v>
      </c>
      <c r="I5" s="68" t="s">
        <v>166</v>
      </c>
      <c r="J5" s="73"/>
    </row>
    <row r="6" spans="1:10" s="62" customFormat="1" ht="56" customHeight="1">
      <c r="A6" s="68">
        <v>4</v>
      </c>
      <c r="B6" s="391"/>
      <c r="C6" s="68" t="s">
        <v>221</v>
      </c>
      <c r="D6" s="75" t="s">
        <v>222</v>
      </c>
      <c r="E6" s="71">
        <v>0.1</v>
      </c>
      <c r="F6" s="71"/>
      <c r="G6" s="70" t="s">
        <v>223</v>
      </c>
      <c r="H6" s="72" t="s">
        <v>224</v>
      </c>
      <c r="I6" s="68" t="s">
        <v>166</v>
      </c>
      <c r="J6" s="73"/>
    </row>
    <row r="7" spans="1:10" s="62" customFormat="1" ht="82.05" customHeight="1">
      <c r="A7" s="68">
        <v>5</v>
      </c>
      <c r="B7" s="391"/>
      <c r="C7" s="394" t="s">
        <v>172</v>
      </c>
      <c r="D7" s="75" t="s">
        <v>281</v>
      </c>
      <c r="E7" s="71">
        <v>0.1</v>
      </c>
      <c r="F7" s="77"/>
      <c r="G7" s="78" t="s">
        <v>282</v>
      </c>
      <c r="H7" s="79" t="s">
        <v>283</v>
      </c>
      <c r="I7" s="68" t="s">
        <v>166</v>
      </c>
    </row>
    <row r="8" spans="1:10" s="62" customFormat="1" ht="77" customHeight="1">
      <c r="A8" s="68">
        <v>6</v>
      </c>
      <c r="B8" s="391"/>
      <c r="C8" s="395"/>
      <c r="D8" s="75" t="s">
        <v>284</v>
      </c>
      <c r="E8" s="71">
        <v>0.1</v>
      </c>
      <c r="F8" s="77"/>
      <c r="G8" s="78" t="s">
        <v>285</v>
      </c>
      <c r="H8" s="79" t="s">
        <v>286</v>
      </c>
      <c r="I8" s="68" t="s">
        <v>166</v>
      </c>
    </row>
    <row r="9" spans="1:10" s="62" customFormat="1" ht="83" customHeight="1">
      <c r="A9" s="68">
        <v>7</v>
      </c>
      <c r="B9" s="391"/>
      <c r="C9" s="395"/>
      <c r="D9" s="75" t="s">
        <v>287</v>
      </c>
      <c r="E9" s="71">
        <v>0.1</v>
      </c>
      <c r="F9" s="77"/>
      <c r="G9" s="78" t="s">
        <v>244</v>
      </c>
      <c r="H9" s="79" t="s">
        <v>245</v>
      </c>
      <c r="I9" s="68" t="s">
        <v>166</v>
      </c>
    </row>
    <row r="10" spans="1:10" s="62" customFormat="1" ht="86" customHeight="1">
      <c r="A10" s="68">
        <v>8</v>
      </c>
      <c r="B10" s="391"/>
      <c r="C10" s="395"/>
      <c r="D10" s="81" t="s">
        <v>246</v>
      </c>
      <c r="E10" s="71">
        <v>0.1</v>
      </c>
      <c r="F10" s="82"/>
      <c r="G10" s="81" t="s">
        <v>247</v>
      </c>
      <c r="H10" s="81" t="s">
        <v>248</v>
      </c>
      <c r="I10" s="68" t="s">
        <v>166</v>
      </c>
    </row>
    <row r="11" spans="1:10" s="62" customFormat="1" ht="62" customHeight="1">
      <c r="A11" s="68">
        <v>9</v>
      </c>
      <c r="B11" s="391"/>
      <c r="C11" s="394" t="s">
        <v>184</v>
      </c>
      <c r="D11" s="81" t="s">
        <v>249</v>
      </c>
      <c r="E11" s="71">
        <v>0.1</v>
      </c>
      <c r="F11" s="82"/>
      <c r="G11" s="81" t="s">
        <v>250</v>
      </c>
      <c r="H11" s="81" t="s">
        <v>187</v>
      </c>
      <c r="I11" s="68" t="s">
        <v>188</v>
      </c>
    </row>
    <row r="12" spans="1:10" s="62" customFormat="1" ht="62" customHeight="1">
      <c r="A12" s="68">
        <v>10</v>
      </c>
      <c r="B12" s="391"/>
      <c r="C12" s="397"/>
      <c r="D12" s="81" t="s">
        <v>251</v>
      </c>
      <c r="E12" s="71">
        <v>0.1</v>
      </c>
      <c r="F12" s="82"/>
      <c r="G12" s="476" t="s">
        <v>409</v>
      </c>
      <c r="H12" s="81" t="s">
        <v>187</v>
      </c>
      <c r="I12" s="68" t="s">
        <v>188</v>
      </c>
    </row>
    <row r="13" spans="1:10" s="62" customFormat="1" ht="62" customHeight="1">
      <c r="A13" s="68">
        <v>11</v>
      </c>
      <c r="B13" s="391"/>
      <c r="C13" s="395" t="s">
        <v>117</v>
      </c>
      <c r="D13" s="83" t="s">
        <v>253</v>
      </c>
      <c r="E13" s="71">
        <v>0.1</v>
      </c>
      <c r="F13" s="82"/>
      <c r="G13" s="70" t="s">
        <v>254</v>
      </c>
      <c r="H13" s="81" t="s">
        <v>255</v>
      </c>
      <c r="I13" s="68" t="s">
        <v>166</v>
      </c>
    </row>
    <row r="14" spans="1:10" s="62" customFormat="1" ht="62" customHeight="1">
      <c r="A14" s="68">
        <v>12</v>
      </c>
      <c r="B14" s="391"/>
      <c r="C14" s="397"/>
      <c r="D14" s="83" t="s">
        <v>256</v>
      </c>
      <c r="E14" s="71">
        <v>0.1</v>
      </c>
      <c r="F14" s="82"/>
      <c r="G14" s="70" t="s">
        <v>257</v>
      </c>
      <c r="H14" s="81" t="s">
        <v>258</v>
      </c>
      <c r="I14" s="68" t="s">
        <v>166</v>
      </c>
    </row>
    <row r="15" spans="1:10" s="62" customFormat="1" ht="74" customHeight="1">
      <c r="A15" s="68">
        <v>13</v>
      </c>
      <c r="B15" s="391"/>
      <c r="C15" s="69" t="s">
        <v>134</v>
      </c>
      <c r="D15" s="87" t="s">
        <v>193</v>
      </c>
      <c r="E15" s="71">
        <v>0.1</v>
      </c>
      <c r="F15" s="71"/>
      <c r="G15" s="72" t="s">
        <v>288</v>
      </c>
      <c r="H15" s="72" t="s">
        <v>195</v>
      </c>
      <c r="I15" s="68" t="s">
        <v>192</v>
      </c>
    </row>
    <row r="16" spans="1:10" s="62" customFormat="1" ht="52.05" customHeight="1">
      <c r="A16" s="68">
        <v>14</v>
      </c>
      <c r="B16" s="391"/>
      <c r="C16" s="84" t="s">
        <v>199</v>
      </c>
      <c r="D16" s="83" t="s">
        <v>200</v>
      </c>
      <c r="E16" s="71">
        <v>0.1</v>
      </c>
      <c r="F16" s="82"/>
      <c r="G16" s="81" t="s">
        <v>201</v>
      </c>
      <c r="H16" s="81" t="s">
        <v>202</v>
      </c>
      <c r="I16" s="68" t="s">
        <v>203</v>
      </c>
    </row>
    <row r="17" spans="5:5">
      <c r="E17" s="85">
        <f>SUM(E3:E16)</f>
        <v>1.6</v>
      </c>
    </row>
  </sheetData>
  <mergeCells count="6">
    <mergeCell ref="A1:I1"/>
    <mergeCell ref="B3:B16"/>
    <mergeCell ref="C3:C4"/>
    <mergeCell ref="C7:C10"/>
    <mergeCell ref="C11:C12"/>
    <mergeCell ref="C13:C14"/>
  </mergeCells>
  <phoneticPr fontId="2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zoomScale="80" zoomScaleNormal="80" workbookViewId="0">
      <pane xSplit="5" ySplit="2" topLeftCell="F8" activePane="bottomRight" state="frozen"/>
      <selection pane="topRight"/>
      <selection pane="bottomLeft"/>
      <selection pane="bottomRight" activeCell="G10" sqref="G10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289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290</v>
      </c>
      <c r="C3" s="392" t="s">
        <v>162</v>
      </c>
      <c r="D3" s="70" t="s">
        <v>163</v>
      </c>
      <c r="E3" s="71">
        <v>0.3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48" customHeight="1">
      <c r="A4" s="68">
        <v>2</v>
      </c>
      <c r="B4" s="391"/>
      <c r="C4" s="393"/>
      <c r="D4" s="75" t="s">
        <v>169</v>
      </c>
      <c r="E4" s="71">
        <v>0.1</v>
      </c>
      <c r="F4" s="71"/>
      <c r="G4" s="70" t="s">
        <v>220</v>
      </c>
      <c r="H4" s="72" t="s">
        <v>171</v>
      </c>
      <c r="I4" s="68" t="s">
        <v>166</v>
      </c>
      <c r="J4" s="73"/>
    </row>
    <row r="5" spans="1:10" s="62" customFormat="1" ht="56" customHeight="1">
      <c r="A5" s="68">
        <v>3</v>
      </c>
      <c r="B5" s="391"/>
      <c r="C5" s="68" t="s">
        <v>221</v>
      </c>
      <c r="D5" s="75" t="s">
        <v>222</v>
      </c>
      <c r="E5" s="71">
        <v>0.1</v>
      </c>
      <c r="F5" s="71"/>
      <c r="G5" s="70" t="s">
        <v>223</v>
      </c>
      <c r="H5" s="72" t="s">
        <v>224</v>
      </c>
      <c r="I5" s="68" t="s">
        <v>166</v>
      </c>
      <c r="J5" s="73"/>
    </row>
    <row r="6" spans="1:10" s="62" customFormat="1" ht="82.05" customHeight="1">
      <c r="A6" s="68">
        <v>4</v>
      </c>
      <c r="B6" s="391"/>
      <c r="C6" s="394" t="s">
        <v>172</v>
      </c>
      <c r="D6" s="75" t="s">
        <v>291</v>
      </c>
      <c r="E6" s="71">
        <v>0.1</v>
      </c>
      <c r="F6" s="77"/>
      <c r="G6" s="78" t="s">
        <v>292</v>
      </c>
      <c r="H6" s="79" t="s">
        <v>230</v>
      </c>
      <c r="I6" s="68" t="s">
        <v>166</v>
      </c>
    </row>
    <row r="7" spans="1:10" s="62" customFormat="1" ht="82.05" customHeight="1">
      <c r="A7" s="68">
        <v>5</v>
      </c>
      <c r="B7" s="391"/>
      <c r="C7" s="395"/>
      <c r="D7" s="75" t="s">
        <v>293</v>
      </c>
      <c r="E7" s="71">
        <v>0.1</v>
      </c>
      <c r="F7" s="77"/>
      <c r="G7" s="78" t="s">
        <v>294</v>
      </c>
      <c r="H7" s="79" t="s">
        <v>230</v>
      </c>
      <c r="I7" s="68" t="s">
        <v>166</v>
      </c>
    </row>
    <row r="8" spans="1:10" s="62" customFormat="1" ht="83" customHeight="1">
      <c r="A8" s="68">
        <v>6</v>
      </c>
      <c r="B8" s="391"/>
      <c r="C8" s="80"/>
      <c r="D8" s="75" t="s">
        <v>295</v>
      </c>
      <c r="E8" s="71">
        <v>0.1</v>
      </c>
      <c r="F8" s="77"/>
      <c r="G8" s="78" t="s">
        <v>296</v>
      </c>
      <c r="H8" s="79" t="s">
        <v>245</v>
      </c>
      <c r="I8" s="68" t="s">
        <v>166</v>
      </c>
    </row>
    <row r="9" spans="1:10" s="62" customFormat="1" ht="77" customHeight="1">
      <c r="A9" s="68">
        <v>7</v>
      </c>
      <c r="B9" s="391"/>
      <c r="C9" s="80"/>
      <c r="D9" s="75" t="s">
        <v>297</v>
      </c>
      <c r="E9" s="71">
        <v>0.1</v>
      </c>
      <c r="F9" s="77"/>
      <c r="G9" s="78" t="s">
        <v>298</v>
      </c>
      <c r="H9" s="79" t="s">
        <v>299</v>
      </c>
      <c r="I9" s="68" t="s">
        <v>192</v>
      </c>
    </row>
    <row r="10" spans="1:10" s="62" customFormat="1" ht="57" customHeight="1">
      <c r="A10" s="68">
        <v>8</v>
      </c>
      <c r="B10" s="391"/>
      <c r="C10" s="80"/>
      <c r="D10" s="75" t="s">
        <v>300</v>
      </c>
      <c r="E10" s="71">
        <v>0.1</v>
      </c>
      <c r="F10" s="77"/>
      <c r="G10" s="78" t="s">
        <v>301</v>
      </c>
      <c r="H10" s="79" t="s">
        <v>302</v>
      </c>
      <c r="I10" s="68" t="s">
        <v>192</v>
      </c>
    </row>
    <row r="11" spans="1:10" s="62" customFormat="1" ht="66" customHeight="1">
      <c r="A11" s="68">
        <v>9</v>
      </c>
      <c r="B11" s="391"/>
      <c r="C11" s="86" t="s">
        <v>129</v>
      </c>
      <c r="D11" s="75" t="s">
        <v>130</v>
      </c>
      <c r="E11" s="71">
        <v>0.1</v>
      </c>
      <c r="F11" s="77"/>
      <c r="G11" s="78" t="s">
        <v>303</v>
      </c>
      <c r="H11" s="79" t="s">
        <v>304</v>
      </c>
      <c r="I11" s="68" t="s">
        <v>188</v>
      </c>
    </row>
    <row r="12" spans="1:10" s="62" customFormat="1" ht="62" customHeight="1">
      <c r="A12" s="68">
        <v>10</v>
      </c>
      <c r="B12" s="391"/>
      <c r="C12" s="80" t="s">
        <v>117</v>
      </c>
      <c r="D12" s="83" t="s">
        <v>253</v>
      </c>
      <c r="E12" s="71">
        <v>0.1</v>
      </c>
      <c r="F12" s="82"/>
      <c r="G12" s="70" t="s">
        <v>254</v>
      </c>
      <c r="H12" s="81" t="s">
        <v>255</v>
      </c>
      <c r="I12" s="68" t="s">
        <v>166</v>
      </c>
    </row>
    <row r="13" spans="1:10" s="62" customFormat="1" ht="52.05" customHeight="1">
      <c r="A13" s="68">
        <v>11</v>
      </c>
      <c r="B13" s="391"/>
      <c r="C13" s="84" t="s">
        <v>199</v>
      </c>
      <c r="D13" s="83" t="s">
        <v>200</v>
      </c>
      <c r="E13" s="71">
        <v>0.1</v>
      </c>
      <c r="F13" s="82"/>
      <c r="G13" s="81" t="s">
        <v>201</v>
      </c>
      <c r="H13" s="81" t="s">
        <v>202</v>
      </c>
      <c r="I13" s="68" t="s">
        <v>203</v>
      </c>
    </row>
    <row r="14" spans="1:10">
      <c r="E14" s="85">
        <f>SUM(E3:E13)</f>
        <v>1.3</v>
      </c>
    </row>
  </sheetData>
  <mergeCells count="4">
    <mergeCell ref="A1:I1"/>
    <mergeCell ref="B3:B13"/>
    <mergeCell ref="C3:C4"/>
    <mergeCell ref="C6:C7"/>
  </mergeCells>
  <phoneticPr fontId="2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zoomScale="80" zoomScaleNormal="80" workbookViewId="0">
      <pane xSplit="5" ySplit="2" topLeftCell="F3" activePane="bottomRight" state="frozen"/>
      <selection pane="topRight"/>
      <selection pane="bottomLeft"/>
      <selection pane="bottomRight" activeCell="D4" sqref="D4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305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306</v>
      </c>
      <c r="C3" s="69" t="s">
        <v>162</v>
      </c>
      <c r="D3" s="70" t="s">
        <v>163</v>
      </c>
      <c r="E3" s="71">
        <v>0.3</v>
      </c>
      <c r="F3" s="71"/>
      <c r="G3" s="477" t="s">
        <v>403</v>
      </c>
      <c r="H3" s="72" t="s">
        <v>165</v>
      </c>
      <c r="I3" s="68" t="s">
        <v>166</v>
      </c>
      <c r="J3" s="73"/>
    </row>
    <row r="4" spans="1:10" s="62" customFormat="1" ht="82.05" customHeight="1">
      <c r="A4" s="68">
        <v>2</v>
      </c>
      <c r="B4" s="391"/>
      <c r="C4" s="394" t="s">
        <v>172</v>
      </c>
      <c r="D4" s="75" t="s">
        <v>307</v>
      </c>
      <c r="E4" s="71">
        <v>0.1</v>
      </c>
      <c r="F4" s="77"/>
      <c r="G4" s="78" t="s">
        <v>308</v>
      </c>
      <c r="H4" s="79" t="s">
        <v>309</v>
      </c>
      <c r="I4" s="68" t="s">
        <v>166</v>
      </c>
    </row>
    <row r="5" spans="1:10" s="62" customFormat="1" ht="80" customHeight="1">
      <c r="A5" s="68">
        <v>3</v>
      </c>
      <c r="B5" s="391"/>
      <c r="C5" s="395"/>
      <c r="D5" s="75" t="s">
        <v>310</v>
      </c>
      <c r="E5" s="71">
        <v>0.1</v>
      </c>
      <c r="F5" s="77"/>
      <c r="G5" s="78" t="s">
        <v>311</v>
      </c>
      <c r="H5" s="79" t="s">
        <v>245</v>
      </c>
      <c r="I5" s="68" t="s">
        <v>166</v>
      </c>
    </row>
    <row r="6" spans="1:10" s="62" customFormat="1" ht="82.05" customHeight="1">
      <c r="A6" s="68">
        <v>4</v>
      </c>
      <c r="B6" s="391"/>
      <c r="C6" s="395"/>
      <c r="D6" s="81" t="s">
        <v>312</v>
      </c>
      <c r="E6" s="71">
        <v>0.1</v>
      </c>
      <c r="F6" s="82"/>
      <c r="G6" s="78" t="s">
        <v>313</v>
      </c>
      <c r="H6" s="79" t="s">
        <v>314</v>
      </c>
      <c r="I6" s="68" t="s">
        <v>166</v>
      </c>
    </row>
    <row r="7" spans="1:10" s="62" customFormat="1" ht="68" customHeight="1">
      <c r="A7" s="68">
        <v>5</v>
      </c>
      <c r="B7" s="391"/>
      <c r="C7" s="395"/>
      <c r="D7" s="81" t="s">
        <v>315</v>
      </c>
      <c r="E7" s="71">
        <v>0.1</v>
      </c>
      <c r="F7" s="82"/>
      <c r="G7" s="78" t="s">
        <v>316</v>
      </c>
      <c r="H7" s="79" t="s">
        <v>302</v>
      </c>
      <c r="I7" s="68" t="s">
        <v>192</v>
      </c>
    </row>
    <row r="8" spans="1:10" s="62" customFormat="1" ht="52.05" customHeight="1">
      <c r="A8" s="68">
        <v>6</v>
      </c>
      <c r="B8" s="391"/>
      <c r="C8" s="84" t="s">
        <v>199</v>
      </c>
      <c r="D8" s="83" t="s">
        <v>200</v>
      </c>
      <c r="E8" s="71">
        <v>0.1</v>
      </c>
      <c r="F8" s="82"/>
      <c r="G8" s="476" t="s">
        <v>404</v>
      </c>
      <c r="H8" s="79" t="s">
        <v>202</v>
      </c>
      <c r="I8" s="68" t="s">
        <v>203</v>
      </c>
    </row>
    <row r="9" spans="1:10">
      <c r="E9" s="85">
        <f>SUM(E3:E8)</f>
        <v>0.8</v>
      </c>
    </row>
  </sheetData>
  <mergeCells count="3">
    <mergeCell ref="A1:I1"/>
    <mergeCell ref="B3:B8"/>
    <mergeCell ref="C4:C7"/>
  </mergeCells>
  <phoneticPr fontId="2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"/>
  <sheetViews>
    <sheetView zoomScale="80" zoomScaleNormal="80" workbookViewId="0">
      <pane xSplit="3" ySplit="2" topLeftCell="D10" activePane="bottomRight" state="frozen"/>
      <selection pane="topRight"/>
      <selection pane="bottomLeft"/>
      <selection pane="bottomRight" activeCell="G14" sqref="G14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317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318</v>
      </c>
      <c r="C3" s="392" t="s">
        <v>162</v>
      </c>
      <c r="D3" s="70" t="s">
        <v>163</v>
      </c>
      <c r="E3" s="71">
        <v>0.3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3"/>
      <c r="D4" s="75" t="s">
        <v>167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48" customHeight="1">
      <c r="A5" s="68">
        <v>3</v>
      </c>
      <c r="B5" s="391"/>
      <c r="C5" s="74"/>
      <c r="D5" s="75" t="s">
        <v>169</v>
      </c>
      <c r="E5" s="71">
        <v>0.1</v>
      </c>
      <c r="F5" s="71"/>
      <c r="G5" s="70" t="s">
        <v>220</v>
      </c>
      <c r="H5" s="72" t="s">
        <v>171</v>
      </c>
      <c r="I5" s="68" t="s">
        <v>166</v>
      </c>
      <c r="J5" s="73"/>
    </row>
    <row r="6" spans="1:10" s="62" customFormat="1" ht="56" customHeight="1">
      <c r="A6" s="68">
        <v>4</v>
      </c>
      <c r="B6" s="391"/>
      <c r="C6" s="68" t="s">
        <v>221</v>
      </c>
      <c r="D6" s="75" t="s">
        <v>222</v>
      </c>
      <c r="E6" s="71">
        <v>0.1</v>
      </c>
      <c r="F6" s="71"/>
      <c r="G6" s="70" t="s">
        <v>223</v>
      </c>
      <c r="H6" s="72" t="s">
        <v>224</v>
      </c>
      <c r="I6" s="68" t="s">
        <v>166</v>
      </c>
      <c r="J6" s="73"/>
    </row>
    <row r="7" spans="1:10" s="62" customFormat="1" ht="82.05" customHeight="1">
      <c r="A7" s="68">
        <v>5</v>
      </c>
      <c r="B7" s="391"/>
      <c r="C7" s="394" t="s">
        <v>172</v>
      </c>
      <c r="D7" s="75" t="s">
        <v>319</v>
      </c>
      <c r="E7" s="71">
        <v>0.1</v>
      </c>
      <c r="F7" s="77"/>
      <c r="G7" s="78" t="s">
        <v>320</v>
      </c>
      <c r="H7" s="79" t="s">
        <v>321</v>
      </c>
      <c r="I7" s="68" t="s">
        <v>166</v>
      </c>
    </row>
    <row r="8" spans="1:10" s="62" customFormat="1" ht="80" customHeight="1">
      <c r="A8" s="68">
        <v>6</v>
      </c>
      <c r="B8" s="391"/>
      <c r="C8" s="395"/>
      <c r="D8" s="75" t="s">
        <v>322</v>
      </c>
      <c r="E8" s="71"/>
      <c r="F8" s="77"/>
      <c r="G8" s="78" t="s">
        <v>323</v>
      </c>
      <c r="H8" s="79" t="s">
        <v>321</v>
      </c>
      <c r="I8" s="68" t="s">
        <v>166</v>
      </c>
    </row>
    <row r="9" spans="1:10" s="62" customFormat="1" ht="85.05" customHeight="1">
      <c r="A9" s="68">
        <v>7</v>
      </c>
      <c r="B9" s="391"/>
      <c r="C9" s="395"/>
      <c r="D9" s="75" t="s">
        <v>284</v>
      </c>
      <c r="E9" s="71">
        <v>0.1</v>
      </c>
      <c r="F9" s="77"/>
      <c r="G9" s="78" t="s">
        <v>324</v>
      </c>
      <c r="H9" s="79" t="s">
        <v>286</v>
      </c>
      <c r="I9" s="68" t="s">
        <v>166</v>
      </c>
    </row>
    <row r="10" spans="1:10" s="62" customFormat="1" ht="83" customHeight="1">
      <c r="A10" s="68">
        <v>8</v>
      </c>
      <c r="B10" s="391"/>
      <c r="C10" s="395"/>
      <c r="D10" s="75" t="s">
        <v>287</v>
      </c>
      <c r="E10" s="71">
        <v>0.1</v>
      </c>
      <c r="F10" s="77"/>
      <c r="G10" s="78" t="s">
        <v>325</v>
      </c>
      <c r="H10" s="79" t="s">
        <v>245</v>
      </c>
      <c r="I10" s="68" t="s">
        <v>166</v>
      </c>
    </row>
    <row r="11" spans="1:10" s="62" customFormat="1" ht="60" customHeight="1">
      <c r="A11" s="68">
        <v>9</v>
      </c>
      <c r="B11" s="391"/>
      <c r="C11" s="86" t="s">
        <v>129</v>
      </c>
      <c r="D11" s="75" t="s">
        <v>130</v>
      </c>
      <c r="E11" s="71"/>
      <c r="F11" s="77"/>
      <c r="G11" s="78" t="s">
        <v>303</v>
      </c>
      <c r="H11" s="79" t="s">
        <v>304</v>
      </c>
      <c r="I11" s="68" t="s">
        <v>188</v>
      </c>
    </row>
    <row r="12" spans="1:10" s="62" customFormat="1" ht="70.05" customHeight="1">
      <c r="A12" s="68">
        <v>10</v>
      </c>
      <c r="B12" s="391"/>
      <c r="C12" s="76" t="s">
        <v>184</v>
      </c>
      <c r="D12" s="81" t="s">
        <v>249</v>
      </c>
      <c r="E12" s="71">
        <v>0.1</v>
      </c>
      <c r="F12" s="82"/>
      <c r="G12" s="81" t="s">
        <v>250</v>
      </c>
      <c r="H12" s="81" t="s">
        <v>187</v>
      </c>
      <c r="I12" s="68" t="s">
        <v>188</v>
      </c>
    </row>
    <row r="13" spans="1:10" s="62" customFormat="1" ht="74" customHeight="1">
      <c r="A13" s="68">
        <v>11</v>
      </c>
      <c r="B13" s="391"/>
      <c r="C13" s="69" t="s">
        <v>134</v>
      </c>
      <c r="D13" s="87" t="s">
        <v>193</v>
      </c>
      <c r="E13" s="71">
        <v>0.1</v>
      </c>
      <c r="F13" s="71"/>
      <c r="G13" s="72" t="s">
        <v>217</v>
      </c>
      <c r="H13" s="72" t="s">
        <v>191</v>
      </c>
      <c r="I13" s="68" t="s">
        <v>192</v>
      </c>
    </row>
    <row r="14" spans="1:10" s="62" customFormat="1" ht="52.05" customHeight="1">
      <c r="A14" s="68">
        <v>12</v>
      </c>
      <c r="B14" s="391"/>
      <c r="C14" s="84" t="s">
        <v>199</v>
      </c>
      <c r="D14" s="83" t="s">
        <v>200</v>
      </c>
      <c r="E14" s="71">
        <v>0.1</v>
      </c>
      <c r="F14" s="82"/>
      <c r="G14" s="81" t="s">
        <v>201</v>
      </c>
      <c r="H14" s="72" t="s">
        <v>202</v>
      </c>
      <c r="I14" s="68" t="s">
        <v>203</v>
      </c>
    </row>
    <row r="15" spans="1:10">
      <c r="E15" s="85">
        <f>SUM(E3:E14)</f>
        <v>1.2</v>
      </c>
    </row>
  </sheetData>
  <mergeCells count="4">
    <mergeCell ref="A1:I1"/>
    <mergeCell ref="B3:B14"/>
    <mergeCell ref="C3:C4"/>
    <mergeCell ref="C7:C10"/>
  </mergeCells>
  <phoneticPr fontId="2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"/>
  <sheetViews>
    <sheetView zoomScale="80" zoomScaleNormal="80" workbookViewId="0">
      <pane xSplit="3" ySplit="2" topLeftCell="D3" activePane="bottomRight" state="frozen"/>
      <selection pane="topRight"/>
      <selection pane="bottomLeft"/>
      <selection pane="bottomRight" activeCell="D6" sqref="D6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326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327</v>
      </c>
      <c r="C3" s="392" t="s">
        <v>162</v>
      </c>
      <c r="D3" s="477" t="s">
        <v>405</v>
      </c>
      <c r="E3" s="71">
        <v>0.3</v>
      </c>
      <c r="F3" s="71"/>
      <c r="G3" s="477" t="s">
        <v>403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6"/>
      <c r="D4" s="478" t="s">
        <v>406</v>
      </c>
      <c r="E4" s="71">
        <v>0.1</v>
      </c>
      <c r="F4" s="71"/>
      <c r="G4" s="477" t="s">
        <v>407</v>
      </c>
      <c r="H4" s="72" t="s">
        <v>171</v>
      </c>
      <c r="I4" s="68" t="s">
        <v>166</v>
      </c>
      <c r="J4" s="73"/>
    </row>
    <row r="5" spans="1:10" s="62" customFormat="1" ht="82.05" customHeight="1">
      <c r="A5" s="68">
        <v>3</v>
      </c>
      <c r="B5" s="391"/>
      <c r="C5" s="394" t="s">
        <v>172</v>
      </c>
      <c r="D5" s="75" t="s">
        <v>328</v>
      </c>
      <c r="E5" s="71">
        <v>0.1</v>
      </c>
      <c r="F5" s="77"/>
      <c r="G5" s="78" t="s">
        <v>329</v>
      </c>
      <c r="H5" s="79" t="s">
        <v>330</v>
      </c>
      <c r="I5" s="68" t="s">
        <v>166</v>
      </c>
    </row>
    <row r="6" spans="1:10" s="62" customFormat="1" ht="82.05" customHeight="1">
      <c r="A6" s="68">
        <v>4</v>
      </c>
      <c r="B6" s="391"/>
      <c r="C6" s="395"/>
      <c r="D6" s="81" t="s">
        <v>331</v>
      </c>
      <c r="E6" s="71">
        <v>0.1</v>
      </c>
      <c r="F6" s="77"/>
      <c r="G6" s="78" t="s">
        <v>332</v>
      </c>
      <c r="H6" s="79" t="s">
        <v>330</v>
      </c>
      <c r="I6" s="68" t="s">
        <v>166</v>
      </c>
    </row>
    <row r="7" spans="1:10" s="62" customFormat="1" ht="68" customHeight="1">
      <c r="A7" s="68">
        <v>5</v>
      </c>
      <c r="B7" s="391"/>
      <c r="C7" s="395"/>
      <c r="D7" s="81" t="s">
        <v>333</v>
      </c>
      <c r="E7" s="71">
        <v>0.1</v>
      </c>
      <c r="F7" s="82"/>
      <c r="G7" s="479" t="s">
        <v>408</v>
      </c>
      <c r="H7" s="79" t="s">
        <v>302</v>
      </c>
      <c r="I7" s="68" t="s">
        <v>192</v>
      </c>
    </row>
    <row r="8" spans="1:10" s="62" customFormat="1" ht="52.05" customHeight="1">
      <c r="A8" s="68">
        <v>6</v>
      </c>
      <c r="B8" s="391"/>
      <c r="C8" s="84" t="s">
        <v>199</v>
      </c>
      <c r="D8" s="83" t="s">
        <v>200</v>
      </c>
      <c r="E8" s="71">
        <v>0.1</v>
      </c>
      <c r="F8" s="82"/>
      <c r="G8" s="81" t="s">
        <v>201</v>
      </c>
      <c r="H8" s="79" t="s">
        <v>202</v>
      </c>
      <c r="I8" s="68" t="s">
        <v>203</v>
      </c>
    </row>
    <row r="9" spans="1:10">
      <c r="E9" s="85">
        <f>SUM(E3:E8)</f>
        <v>0.8</v>
      </c>
    </row>
  </sheetData>
  <mergeCells count="4">
    <mergeCell ref="A1:I1"/>
    <mergeCell ref="B3:B8"/>
    <mergeCell ref="C3:C4"/>
    <mergeCell ref="C5:C7"/>
  </mergeCells>
  <phoneticPr fontId="2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8"/>
  <sheetViews>
    <sheetView zoomScale="80" zoomScaleNormal="80" workbookViewId="0">
      <pane xSplit="5" ySplit="2" topLeftCell="F3" activePane="bottomRight" state="frozen"/>
      <selection pane="topRight"/>
      <selection pane="bottomLeft"/>
      <selection pane="bottomRight" activeCell="D8" sqref="D8"/>
    </sheetView>
  </sheetViews>
  <sheetFormatPr defaultColWidth="21" defaultRowHeight="16.149999999999999"/>
  <cols>
    <col min="1" max="1" width="8" style="63" customWidth="1"/>
    <col min="2" max="2" width="10" style="63" customWidth="1"/>
    <col min="3" max="3" width="11.25" style="63" customWidth="1"/>
    <col min="4" max="4" width="34.3125" style="64" customWidth="1"/>
    <col min="5" max="5" width="16" style="65" customWidth="1"/>
    <col min="6" max="6" width="13.0625" style="63" customWidth="1"/>
    <col min="7" max="7" width="59.8125" style="60" customWidth="1"/>
    <col min="8" max="8" width="39.8125" style="60" customWidth="1"/>
    <col min="9" max="9" width="21" style="63" customWidth="1"/>
    <col min="10" max="10" width="21" style="60" customWidth="1"/>
    <col min="11" max="16384" width="21" style="60"/>
  </cols>
  <sheetData>
    <row r="1" spans="1:10" ht="42" customHeight="1">
      <c r="A1" s="374" t="s">
        <v>334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76.05" customHeight="1">
      <c r="A3" s="68">
        <v>1</v>
      </c>
      <c r="B3" s="392" t="s">
        <v>335</v>
      </c>
      <c r="C3" s="392" t="s">
        <v>162</v>
      </c>
      <c r="D3" s="70" t="s">
        <v>163</v>
      </c>
      <c r="E3" s="71">
        <v>0.4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76.05" customHeight="1">
      <c r="A4" s="68">
        <v>2</v>
      </c>
      <c r="B4" s="393"/>
      <c r="C4" s="393"/>
      <c r="D4" s="75" t="s">
        <v>207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</row>
    <row r="5" spans="1:10" s="62" customFormat="1" ht="76.05" customHeight="1">
      <c r="A5" s="68"/>
      <c r="B5" s="393"/>
      <c r="C5" s="396"/>
      <c r="D5" s="75" t="s">
        <v>336</v>
      </c>
      <c r="E5" s="71">
        <v>0.1</v>
      </c>
      <c r="F5" s="71"/>
      <c r="G5" s="70" t="s">
        <v>170</v>
      </c>
      <c r="H5" s="72" t="s">
        <v>171</v>
      </c>
      <c r="I5" s="68" t="s">
        <v>166</v>
      </c>
    </row>
    <row r="6" spans="1:10" s="62" customFormat="1" ht="63" customHeight="1">
      <c r="A6" s="68">
        <v>3</v>
      </c>
      <c r="B6" s="393"/>
      <c r="C6" s="394" t="s">
        <v>172</v>
      </c>
      <c r="D6" s="87" t="s">
        <v>173</v>
      </c>
      <c r="E6" s="77">
        <v>0.1</v>
      </c>
      <c r="F6" s="71"/>
      <c r="G6" s="72" t="s">
        <v>174</v>
      </c>
      <c r="H6" s="89" t="s">
        <v>125</v>
      </c>
      <c r="I6" s="68" t="s">
        <v>166</v>
      </c>
    </row>
    <row r="7" spans="1:10" s="62" customFormat="1" ht="71" customHeight="1">
      <c r="A7" s="68">
        <v>4</v>
      </c>
      <c r="B7" s="393"/>
      <c r="C7" s="395"/>
      <c r="D7" s="81" t="s">
        <v>337</v>
      </c>
      <c r="E7" s="77">
        <v>0.1</v>
      </c>
      <c r="F7" s="82"/>
      <c r="G7" s="81" t="s">
        <v>247</v>
      </c>
      <c r="H7" s="81" t="s">
        <v>248</v>
      </c>
      <c r="I7" s="68" t="s">
        <v>166</v>
      </c>
    </row>
    <row r="8" spans="1:10" s="62" customFormat="1" ht="71" customHeight="1">
      <c r="A8" s="68">
        <v>5</v>
      </c>
      <c r="B8" s="393"/>
      <c r="C8" s="395"/>
      <c r="D8" s="83" t="s">
        <v>338</v>
      </c>
      <c r="E8" s="77">
        <v>0.1</v>
      </c>
      <c r="F8" s="82"/>
      <c r="G8" s="81" t="s">
        <v>339</v>
      </c>
      <c r="H8" s="81" t="s">
        <v>340</v>
      </c>
      <c r="I8" s="68" t="s">
        <v>166</v>
      </c>
    </row>
    <row r="9" spans="1:10" s="62" customFormat="1" ht="80" customHeight="1">
      <c r="A9" s="68">
        <v>7</v>
      </c>
      <c r="B9" s="393"/>
      <c r="C9" s="395"/>
      <c r="D9" s="83" t="s">
        <v>175</v>
      </c>
      <c r="E9" s="77">
        <v>0.1</v>
      </c>
      <c r="F9" s="77"/>
      <c r="G9" s="78" t="s">
        <v>176</v>
      </c>
      <c r="H9" s="79" t="s">
        <v>177</v>
      </c>
      <c r="I9" s="68" t="s">
        <v>166</v>
      </c>
    </row>
    <row r="10" spans="1:10" s="62" customFormat="1" ht="80" customHeight="1">
      <c r="A10" s="68">
        <v>8</v>
      </c>
      <c r="B10" s="393"/>
      <c r="C10" s="395"/>
      <c r="D10" s="83" t="s">
        <v>178</v>
      </c>
      <c r="E10" s="77">
        <v>0.1</v>
      </c>
      <c r="F10" s="77"/>
      <c r="G10" s="78" t="s">
        <v>179</v>
      </c>
      <c r="H10" s="79" t="s">
        <v>180</v>
      </c>
      <c r="I10" s="68" t="s">
        <v>166</v>
      </c>
    </row>
    <row r="11" spans="1:10" s="62" customFormat="1" ht="80" customHeight="1">
      <c r="A11" s="68"/>
      <c r="B11" s="393"/>
      <c r="C11" s="395"/>
      <c r="D11" s="83" t="s">
        <v>341</v>
      </c>
      <c r="E11" s="77">
        <v>0.1</v>
      </c>
      <c r="F11" s="77"/>
      <c r="G11" s="81" t="s">
        <v>342</v>
      </c>
      <c r="H11" s="81" t="s">
        <v>340</v>
      </c>
      <c r="I11" s="68" t="s">
        <v>166</v>
      </c>
    </row>
    <row r="12" spans="1:10" s="62" customFormat="1" ht="80" customHeight="1">
      <c r="A12" s="68"/>
      <c r="B12" s="393"/>
      <c r="C12" s="394" t="s">
        <v>184</v>
      </c>
      <c r="D12" s="81" t="s">
        <v>343</v>
      </c>
      <c r="E12" s="77">
        <v>0.1</v>
      </c>
      <c r="F12" s="77"/>
      <c r="G12" s="81" t="s">
        <v>250</v>
      </c>
      <c r="H12" s="476" t="s">
        <v>400</v>
      </c>
      <c r="I12" s="68" t="s">
        <v>188</v>
      </c>
    </row>
    <row r="13" spans="1:10" s="62" customFormat="1" ht="80" customHeight="1">
      <c r="A13" s="68"/>
      <c r="B13" s="393"/>
      <c r="C13" s="397"/>
      <c r="D13" s="81" t="s">
        <v>344</v>
      </c>
      <c r="E13" s="77">
        <v>0.1</v>
      </c>
      <c r="F13" s="77"/>
      <c r="G13" s="81" t="s">
        <v>252</v>
      </c>
      <c r="H13" s="81" t="s">
        <v>187</v>
      </c>
      <c r="I13" s="68" t="s">
        <v>188</v>
      </c>
    </row>
    <row r="14" spans="1:10" s="62" customFormat="1" ht="61.05" customHeight="1">
      <c r="A14" s="68">
        <v>9</v>
      </c>
      <c r="B14" s="393"/>
      <c r="C14" s="398" t="s">
        <v>117</v>
      </c>
      <c r="D14" s="83" t="s">
        <v>253</v>
      </c>
      <c r="E14" s="77">
        <v>0.1</v>
      </c>
      <c r="F14" s="82"/>
      <c r="G14" s="70" t="s">
        <v>254</v>
      </c>
      <c r="H14" s="476" t="s">
        <v>401</v>
      </c>
      <c r="I14" s="68" t="s">
        <v>166</v>
      </c>
    </row>
    <row r="15" spans="1:10" s="62" customFormat="1" ht="66" customHeight="1">
      <c r="A15" s="68"/>
      <c r="B15" s="393"/>
      <c r="C15" s="399"/>
      <c r="D15" s="83" t="s">
        <v>256</v>
      </c>
      <c r="E15" s="77">
        <v>0.1</v>
      </c>
      <c r="F15" s="82"/>
      <c r="G15" s="70" t="s">
        <v>257</v>
      </c>
      <c r="H15" s="81" t="s">
        <v>258</v>
      </c>
      <c r="I15" s="68" t="s">
        <v>166</v>
      </c>
    </row>
    <row r="16" spans="1:10" s="62" customFormat="1" ht="88.05" customHeight="1">
      <c r="A16" s="68"/>
      <c r="B16" s="393"/>
      <c r="C16" s="400"/>
      <c r="D16" s="83" t="s">
        <v>345</v>
      </c>
      <c r="E16" s="77">
        <v>0.1</v>
      </c>
      <c r="F16" s="82"/>
      <c r="G16" s="78" t="s">
        <v>346</v>
      </c>
      <c r="H16" s="79" t="s">
        <v>299</v>
      </c>
      <c r="I16" s="68" t="s">
        <v>166</v>
      </c>
    </row>
    <row r="17" spans="1:9" ht="36" customHeight="1">
      <c r="A17" s="68">
        <v>11</v>
      </c>
      <c r="B17" s="396"/>
      <c r="C17" s="84" t="s">
        <v>199</v>
      </c>
      <c r="D17" s="83" t="s">
        <v>200</v>
      </c>
      <c r="E17" s="77">
        <v>0.1</v>
      </c>
      <c r="F17" s="82"/>
      <c r="G17" s="81" t="s">
        <v>201</v>
      </c>
      <c r="H17" s="81" t="s">
        <v>202</v>
      </c>
      <c r="I17" s="68" t="s">
        <v>203</v>
      </c>
    </row>
    <row r="18" spans="1:9">
      <c r="E18" s="85">
        <f>SUM(E3:E17)</f>
        <v>1.8</v>
      </c>
    </row>
  </sheetData>
  <mergeCells count="6">
    <mergeCell ref="A1:I1"/>
    <mergeCell ref="B3:B17"/>
    <mergeCell ref="C3:C5"/>
    <mergeCell ref="C6:C11"/>
    <mergeCell ref="C12:C13"/>
    <mergeCell ref="C14:C16"/>
  </mergeCells>
  <phoneticPr fontId="2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1"/>
  <sheetViews>
    <sheetView zoomScale="80" zoomScaleNormal="80" workbookViewId="0">
      <pane xSplit="5" ySplit="2" topLeftCell="F5" activePane="bottomRight" state="frozen"/>
      <selection pane="topRight"/>
      <selection pane="bottomLeft"/>
      <selection pane="bottomRight" activeCell="G10" sqref="G10"/>
    </sheetView>
  </sheetViews>
  <sheetFormatPr defaultColWidth="21" defaultRowHeight="16.149999999999999"/>
  <cols>
    <col min="1" max="1" width="8" style="63" customWidth="1"/>
    <col min="2" max="2" width="11.8125" style="63" customWidth="1"/>
    <col min="3" max="3" width="11.25" style="63" customWidth="1"/>
    <col min="4" max="4" width="27" style="64" customWidth="1"/>
    <col min="5" max="5" width="16" style="65" customWidth="1"/>
    <col min="6" max="6" width="13.0625" style="63" customWidth="1"/>
    <col min="7" max="7" width="65.3125" style="60" customWidth="1"/>
    <col min="8" max="8" width="39.8125" style="60" customWidth="1"/>
    <col min="9" max="9" width="21" style="63" customWidth="1"/>
    <col min="10" max="10" width="21" style="60" customWidth="1"/>
    <col min="11" max="16384" width="21" style="60"/>
  </cols>
  <sheetData>
    <row r="1" spans="1:10" ht="42" customHeight="1">
      <c r="A1" s="374" t="s">
        <v>347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2" customHeight="1">
      <c r="A3" s="68">
        <v>1</v>
      </c>
      <c r="B3" s="392" t="s">
        <v>348</v>
      </c>
      <c r="C3" s="391" t="s">
        <v>162</v>
      </c>
      <c r="D3" s="70" t="s">
        <v>163</v>
      </c>
      <c r="E3" s="71" t="s">
        <v>349</v>
      </c>
      <c r="F3" s="71"/>
      <c r="G3" s="70" t="s">
        <v>350</v>
      </c>
      <c r="H3" s="72" t="s">
        <v>165</v>
      </c>
      <c r="I3" s="68" t="s">
        <v>166</v>
      </c>
      <c r="J3" s="73"/>
    </row>
    <row r="4" spans="1:10" s="62" customFormat="1" ht="76.05" customHeight="1">
      <c r="A4" s="68">
        <v>2</v>
      </c>
      <c r="B4" s="393"/>
      <c r="C4" s="391"/>
      <c r="D4" s="75" t="s">
        <v>207</v>
      </c>
      <c r="E4" s="71"/>
      <c r="F4" s="71"/>
      <c r="G4" s="70" t="s">
        <v>168</v>
      </c>
      <c r="H4" s="72" t="s">
        <v>165</v>
      </c>
      <c r="I4" s="68" t="s">
        <v>166</v>
      </c>
    </row>
    <row r="5" spans="1:10" s="62" customFormat="1" ht="63" customHeight="1">
      <c r="A5" s="68">
        <v>3</v>
      </c>
      <c r="B5" s="393"/>
      <c r="C5" s="401" t="s">
        <v>172</v>
      </c>
      <c r="D5" s="87" t="s">
        <v>173</v>
      </c>
      <c r="E5" s="71"/>
      <c r="F5" s="71"/>
      <c r="G5" s="72" t="s">
        <v>270</v>
      </c>
      <c r="H5" s="88" t="s">
        <v>125</v>
      </c>
      <c r="I5" s="68" t="s">
        <v>166</v>
      </c>
    </row>
    <row r="6" spans="1:10" s="62" customFormat="1" ht="71" customHeight="1">
      <c r="A6" s="68">
        <v>4</v>
      </c>
      <c r="B6" s="393"/>
      <c r="C6" s="401"/>
      <c r="D6" s="81" t="s">
        <v>209</v>
      </c>
      <c r="E6" s="82"/>
      <c r="F6" s="82"/>
      <c r="G6" s="81" t="s">
        <v>210</v>
      </c>
      <c r="H6" s="81" t="s">
        <v>211</v>
      </c>
      <c r="I6" s="68" t="s">
        <v>166</v>
      </c>
    </row>
    <row r="7" spans="1:10" s="62" customFormat="1" ht="80" customHeight="1">
      <c r="A7" s="68">
        <v>5</v>
      </c>
      <c r="B7" s="393"/>
      <c r="C7" s="401"/>
      <c r="D7" s="75" t="s">
        <v>351</v>
      </c>
      <c r="E7" s="77"/>
      <c r="F7" s="77"/>
      <c r="G7" s="78" t="s">
        <v>216</v>
      </c>
      <c r="H7" s="79" t="s">
        <v>177</v>
      </c>
      <c r="I7" s="68" t="s">
        <v>166</v>
      </c>
    </row>
    <row r="8" spans="1:10" s="62" customFormat="1" ht="80" customHeight="1">
      <c r="A8" s="68">
        <v>6</v>
      </c>
      <c r="B8" s="393"/>
      <c r="C8" s="401"/>
      <c r="D8" s="75" t="s">
        <v>272</v>
      </c>
      <c r="E8" s="77">
        <v>0.3</v>
      </c>
      <c r="F8" s="86">
        <v>100</v>
      </c>
      <c r="G8" s="78" t="s">
        <v>352</v>
      </c>
      <c r="H8" s="79" t="s">
        <v>274</v>
      </c>
      <c r="I8" s="68" t="s">
        <v>166</v>
      </c>
    </row>
    <row r="9" spans="1:10" s="62" customFormat="1" ht="78" customHeight="1">
      <c r="A9" s="68">
        <v>7</v>
      </c>
      <c r="B9" s="393"/>
      <c r="C9" s="84" t="s">
        <v>117</v>
      </c>
      <c r="D9" s="83" t="s">
        <v>275</v>
      </c>
      <c r="E9" s="82"/>
      <c r="F9" s="82"/>
      <c r="G9" s="81" t="s">
        <v>276</v>
      </c>
      <c r="H9" s="81" t="s">
        <v>120</v>
      </c>
      <c r="I9" s="68" t="s">
        <v>166</v>
      </c>
    </row>
    <row r="10" spans="1:10" s="62" customFormat="1" ht="52.05" customHeight="1">
      <c r="A10" s="68">
        <v>8</v>
      </c>
      <c r="B10" s="393"/>
      <c r="C10" s="68" t="s">
        <v>353</v>
      </c>
      <c r="D10" s="70" t="s">
        <v>126</v>
      </c>
      <c r="E10" s="71" t="s">
        <v>354</v>
      </c>
      <c r="F10" s="71" t="s">
        <v>354</v>
      </c>
      <c r="G10" s="70" t="s">
        <v>355</v>
      </c>
      <c r="H10" s="72" t="s">
        <v>356</v>
      </c>
      <c r="I10" s="68" t="s">
        <v>166</v>
      </c>
    </row>
    <row r="11" spans="1:10" ht="45" customHeight="1">
      <c r="A11" s="68">
        <v>9</v>
      </c>
      <c r="B11" s="396"/>
      <c r="C11" s="84" t="s">
        <v>199</v>
      </c>
      <c r="D11" s="83" t="s">
        <v>200</v>
      </c>
      <c r="E11" s="82"/>
      <c r="F11" s="82"/>
      <c r="G11" s="81" t="s">
        <v>201</v>
      </c>
      <c r="H11" s="81" t="s">
        <v>202</v>
      </c>
      <c r="I11" s="68" t="s">
        <v>203</v>
      </c>
    </row>
  </sheetData>
  <mergeCells count="4">
    <mergeCell ref="A1:I1"/>
    <mergeCell ref="B3:B11"/>
    <mergeCell ref="C3:C4"/>
    <mergeCell ref="C5:C8"/>
  </mergeCells>
  <phoneticPr fontId="2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5"/>
  <sheetViews>
    <sheetView zoomScale="80" zoomScaleNormal="80" workbookViewId="0">
      <pane xSplit="5" ySplit="2" topLeftCell="F3" activePane="bottomRight" state="frozen"/>
      <selection pane="topRight"/>
      <selection pane="bottomLeft"/>
      <selection pane="bottomRight" activeCell="G7" sqref="G7"/>
    </sheetView>
  </sheetViews>
  <sheetFormatPr defaultColWidth="9" defaultRowHeight="16.149999999999999"/>
  <cols>
    <col min="1" max="1" width="6.9375" style="63" customWidth="1"/>
    <col min="2" max="2" width="15.5" style="63" customWidth="1"/>
    <col min="3" max="3" width="11.3125" style="63" customWidth="1"/>
    <col min="4" max="4" width="36.75" style="64" customWidth="1"/>
    <col min="5" max="5" width="6.25" style="65" customWidth="1"/>
    <col min="6" max="6" width="6.75" style="63" customWidth="1"/>
    <col min="7" max="7" width="55.25" style="60" customWidth="1"/>
    <col min="8" max="8" width="21.9375" style="60" customWidth="1"/>
    <col min="9" max="9" width="11.8125" style="63" customWidth="1"/>
    <col min="10" max="16384" width="9" style="60"/>
  </cols>
  <sheetData>
    <row r="1" spans="1:10" ht="30" customHeight="1">
      <c r="A1" s="374" t="s">
        <v>357</v>
      </c>
      <c r="B1" s="374"/>
      <c r="C1" s="374"/>
      <c r="D1" s="374"/>
      <c r="E1" s="375"/>
      <c r="F1" s="374"/>
      <c r="G1" s="374"/>
      <c r="H1" s="374"/>
      <c r="I1" s="374"/>
    </row>
    <row r="2" spans="1:10" s="61" customFormat="1" ht="31.5" customHeight="1">
      <c r="A2" s="66" t="s">
        <v>90</v>
      </c>
      <c r="B2" s="66" t="s">
        <v>91</v>
      </c>
      <c r="C2" s="66" t="s">
        <v>92</v>
      </c>
      <c r="D2" s="66" t="s">
        <v>93</v>
      </c>
      <c r="E2" s="67" t="s">
        <v>94</v>
      </c>
      <c r="F2" s="67" t="s">
        <v>95</v>
      </c>
      <c r="G2" s="67" t="s">
        <v>96</v>
      </c>
      <c r="H2" s="67" t="s">
        <v>97</v>
      </c>
      <c r="I2" s="67" t="s">
        <v>98</v>
      </c>
    </row>
    <row r="3" spans="1:10" s="62" customFormat="1" ht="67.05" customHeight="1">
      <c r="A3" s="68">
        <v>1</v>
      </c>
      <c r="B3" s="391" t="s">
        <v>358</v>
      </c>
      <c r="C3" s="392" t="s">
        <v>162</v>
      </c>
      <c r="D3" s="70" t="s">
        <v>163</v>
      </c>
      <c r="E3" s="71">
        <v>0.4</v>
      </c>
      <c r="F3" s="71"/>
      <c r="G3" s="70" t="s">
        <v>164</v>
      </c>
      <c r="H3" s="72" t="s">
        <v>165</v>
      </c>
      <c r="I3" s="68" t="s">
        <v>166</v>
      </c>
      <c r="J3" s="73"/>
    </row>
    <row r="4" spans="1:10" s="62" customFormat="1" ht="67.05" customHeight="1">
      <c r="A4" s="68">
        <v>2</v>
      </c>
      <c r="B4" s="391"/>
      <c r="C4" s="393"/>
      <c r="D4" s="75" t="s">
        <v>167</v>
      </c>
      <c r="E4" s="71">
        <v>0.1</v>
      </c>
      <c r="F4" s="71"/>
      <c r="G4" s="70" t="s">
        <v>168</v>
      </c>
      <c r="H4" s="72" t="s">
        <v>165</v>
      </c>
      <c r="I4" s="68" t="s">
        <v>166</v>
      </c>
      <c r="J4" s="73"/>
    </row>
    <row r="5" spans="1:10" s="62" customFormat="1" ht="56" customHeight="1">
      <c r="A5" s="68">
        <v>3</v>
      </c>
      <c r="B5" s="391"/>
      <c r="C5" s="68" t="s">
        <v>221</v>
      </c>
      <c r="D5" s="75" t="s">
        <v>222</v>
      </c>
      <c r="E5" s="71">
        <v>0.1</v>
      </c>
      <c r="F5" s="71"/>
      <c r="G5" s="477" t="s">
        <v>402</v>
      </c>
      <c r="H5" s="72" t="s">
        <v>224</v>
      </c>
      <c r="I5" s="68" t="s">
        <v>166</v>
      </c>
      <c r="J5" s="73"/>
    </row>
    <row r="6" spans="1:10" s="62" customFormat="1" ht="82.05" customHeight="1">
      <c r="A6" s="68">
        <v>4</v>
      </c>
      <c r="B6" s="391"/>
      <c r="C6" s="394" t="s">
        <v>172</v>
      </c>
      <c r="D6" s="75" t="s">
        <v>281</v>
      </c>
      <c r="E6" s="71">
        <v>0.1</v>
      </c>
      <c r="F6" s="77"/>
      <c r="G6" s="78" t="s">
        <v>282</v>
      </c>
      <c r="H6" s="79" t="s">
        <v>283</v>
      </c>
      <c r="I6" s="68" t="s">
        <v>166</v>
      </c>
    </row>
    <row r="7" spans="1:10" s="62" customFormat="1" ht="78" customHeight="1">
      <c r="A7" s="68">
        <v>5</v>
      </c>
      <c r="B7" s="391"/>
      <c r="C7" s="395"/>
      <c r="D7" s="75" t="s">
        <v>284</v>
      </c>
      <c r="E7" s="71">
        <v>0.1</v>
      </c>
      <c r="F7" s="77"/>
      <c r="G7" s="78" t="s">
        <v>285</v>
      </c>
      <c r="H7" s="79" t="s">
        <v>286</v>
      </c>
      <c r="I7" s="68" t="s">
        <v>166</v>
      </c>
    </row>
    <row r="8" spans="1:10" s="62" customFormat="1" ht="81" customHeight="1">
      <c r="A8" s="68">
        <v>6</v>
      </c>
      <c r="B8" s="391"/>
      <c r="C8" s="395"/>
      <c r="D8" s="75" t="s">
        <v>359</v>
      </c>
      <c r="E8" s="71">
        <v>0.1</v>
      </c>
      <c r="F8" s="77"/>
      <c r="G8" s="78" t="s">
        <v>244</v>
      </c>
      <c r="H8" s="79" t="s">
        <v>245</v>
      </c>
      <c r="I8" s="68" t="s">
        <v>166</v>
      </c>
    </row>
    <row r="9" spans="1:10" s="62" customFormat="1" ht="86" customHeight="1">
      <c r="A9" s="68">
        <v>7</v>
      </c>
      <c r="B9" s="391"/>
      <c r="C9" s="395"/>
      <c r="D9" s="81" t="s">
        <v>360</v>
      </c>
      <c r="E9" s="71">
        <v>0.1</v>
      </c>
      <c r="F9" s="82"/>
      <c r="G9" s="81" t="s">
        <v>247</v>
      </c>
      <c r="H9" s="81" t="s">
        <v>248</v>
      </c>
      <c r="I9" s="68" t="s">
        <v>166</v>
      </c>
    </row>
    <row r="10" spans="1:10" s="62" customFormat="1" ht="62" customHeight="1">
      <c r="A10" s="68">
        <v>8</v>
      </c>
      <c r="B10" s="391"/>
      <c r="C10" s="394" t="s">
        <v>184</v>
      </c>
      <c r="D10" s="81" t="s">
        <v>249</v>
      </c>
      <c r="E10" s="71">
        <v>0.1</v>
      </c>
      <c r="F10" s="82"/>
      <c r="G10" s="81" t="s">
        <v>250</v>
      </c>
      <c r="H10" s="81" t="s">
        <v>187</v>
      </c>
      <c r="I10" s="68" t="s">
        <v>188</v>
      </c>
    </row>
    <row r="11" spans="1:10" s="62" customFormat="1" ht="62" customHeight="1">
      <c r="A11" s="68">
        <v>9</v>
      </c>
      <c r="B11" s="391"/>
      <c r="C11" s="397"/>
      <c r="D11" s="81" t="s">
        <v>251</v>
      </c>
      <c r="E11" s="71">
        <v>0.1</v>
      </c>
      <c r="F11" s="82"/>
      <c r="G11" s="81" t="s">
        <v>252</v>
      </c>
      <c r="H11" s="81" t="s">
        <v>187</v>
      </c>
      <c r="I11" s="68" t="s">
        <v>188</v>
      </c>
    </row>
    <row r="12" spans="1:10" s="62" customFormat="1" ht="62" customHeight="1">
      <c r="A12" s="68">
        <v>10</v>
      </c>
      <c r="B12" s="391"/>
      <c r="C12" s="395" t="s">
        <v>117</v>
      </c>
      <c r="D12" s="83" t="s">
        <v>253</v>
      </c>
      <c r="E12" s="71">
        <v>0.1</v>
      </c>
      <c r="F12" s="82"/>
      <c r="G12" s="70" t="s">
        <v>254</v>
      </c>
      <c r="H12" s="81" t="s">
        <v>255</v>
      </c>
      <c r="I12" s="68" t="s">
        <v>166</v>
      </c>
    </row>
    <row r="13" spans="1:10" s="62" customFormat="1" ht="62" customHeight="1">
      <c r="A13" s="68">
        <v>11</v>
      </c>
      <c r="B13" s="391"/>
      <c r="C13" s="397"/>
      <c r="D13" s="83" t="s">
        <v>256</v>
      </c>
      <c r="E13" s="71">
        <v>0.1</v>
      </c>
      <c r="F13" s="82"/>
      <c r="G13" s="70" t="s">
        <v>257</v>
      </c>
      <c r="H13" s="81" t="s">
        <v>258</v>
      </c>
      <c r="I13" s="68" t="s">
        <v>166</v>
      </c>
    </row>
    <row r="14" spans="1:10" s="62" customFormat="1" ht="52.05" customHeight="1">
      <c r="A14" s="68">
        <v>12</v>
      </c>
      <c r="B14" s="391"/>
      <c r="C14" s="84" t="s">
        <v>199</v>
      </c>
      <c r="D14" s="83" t="s">
        <v>200</v>
      </c>
      <c r="E14" s="71">
        <v>0.1</v>
      </c>
      <c r="F14" s="82"/>
      <c r="G14" s="81" t="s">
        <v>201</v>
      </c>
      <c r="H14" s="81" t="s">
        <v>202</v>
      </c>
      <c r="I14" s="68" t="s">
        <v>203</v>
      </c>
    </row>
    <row r="15" spans="1:10">
      <c r="E15" s="85">
        <f>SUM(E3:E14)</f>
        <v>1.5</v>
      </c>
    </row>
  </sheetData>
  <mergeCells count="6">
    <mergeCell ref="A1:I1"/>
    <mergeCell ref="B3:B14"/>
    <mergeCell ref="C3:C4"/>
    <mergeCell ref="C6:C9"/>
    <mergeCell ref="C10:C11"/>
    <mergeCell ref="C12:C13"/>
  </mergeCells>
  <phoneticPr fontId="2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I9" sqref="I9"/>
    </sheetView>
  </sheetViews>
  <sheetFormatPr defaultColWidth="8.6875" defaultRowHeight="15.75"/>
  <sheetData/>
  <phoneticPr fontId="2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H36"/>
  <sheetViews>
    <sheetView showGridLines="0" zoomScale="70" zoomScaleNormal="70" workbookViewId="0">
      <selection activeCell="L29" sqref="L29"/>
    </sheetView>
  </sheetViews>
  <sheetFormatPr defaultColWidth="9" defaultRowHeight="18" customHeight="1"/>
  <cols>
    <col min="1" max="1" width="55.25" style="3" customWidth="1"/>
    <col min="2" max="2" width="10.5625" style="4" customWidth="1"/>
    <col min="3" max="3" width="15.5625" style="4" customWidth="1"/>
    <col min="4" max="4" width="40.5625" style="4" customWidth="1"/>
    <col min="5" max="8" width="15.5625" style="4" customWidth="1"/>
    <col min="9" max="16384" width="9" style="4"/>
  </cols>
  <sheetData>
    <row r="1" spans="1:8" ht="20.2" customHeight="1"/>
    <row r="2" spans="1:8" ht="20.2" customHeight="1">
      <c r="A2" s="402" t="s">
        <v>66</v>
      </c>
      <c r="B2" s="402"/>
      <c r="C2" s="402"/>
      <c r="D2" s="402"/>
      <c r="E2" s="402"/>
      <c r="F2" s="402"/>
      <c r="G2" s="402"/>
      <c r="H2" s="402"/>
    </row>
    <row r="3" spans="1:8" s="1" customFormat="1" ht="20.2" customHeight="1">
      <c r="A3" s="5" t="s">
        <v>361</v>
      </c>
      <c r="B3" s="403" t="s">
        <v>362</v>
      </c>
      <c r="C3" s="403"/>
      <c r="D3" s="6"/>
      <c r="E3" s="7" t="s">
        <v>2</v>
      </c>
      <c r="F3" s="229" t="s">
        <v>3</v>
      </c>
      <c r="G3" s="230" t="s">
        <v>363</v>
      </c>
      <c r="H3" s="230" t="s">
        <v>70</v>
      </c>
    </row>
    <row r="4" spans="1:8" s="2" customFormat="1" ht="20.2" customHeight="1">
      <c r="A4" s="8"/>
      <c r="B4" s="9"/>
      <c r="C4" s="9"/>
      <c r="D4" s="9"/>
      <c r="E4" s="9"/>
      <c r="F4" s="9"/>
      <c r="G4" s="9"/>
      <c r="H4" s="9"/>
    </row>
    <row r="5" spans="1:8" s="2" customFormat="1" ht="20.2" customHeight="1">
      <c r="A5" s="10" t="s">
        <v>6</v>
      </c>
      <c r="B5" s="11" t="s">
        <v>7</v>
      </c>
      <c r="C5" s="12"/>
      <c r="D5" s="13"/>
      <c r="E5" s="12" t="s">
        <v>8</v>
      </c>
      <c r="F5" s="12"/>
      <c r="G5" s="14"/>
      <c r="H5" s="15" t="s">
        <v>9</v>
      </c>
    </row>
    <row r="6" spans="1:8" s="2" customFormat="1" ht="20.2" customHeight="1">
      <c r="A6" s="423" t="s">
        <v>364</v>
      </c>
      <c r="B6" s="426" t="s">
        <v>11</v>
      </c>
      <c r="C6" s="16" t="s">
        <v>12</v>
      </c>
      <c r="D6" s="17" t="s">
        <v>365</v>
      </c>
      <c r="E6" s="18"/>
      <c r="F6" s="19"/>
      <c r="G6" s="20"/>
      <c r="H6" s="21"/>
    </row>
    <row r="7" spans="1:8" s="2" customFormat="1" ht="20.2" customHeight="1">
      <c r="A7" s="424"/>
      <c r="B7" s="427"/>
      <c r="C7" s="22" t="s">
        <v>14</v>
      </c>
      <c r="D7" s="23" t="s">
        <v>366</v>
      </c>
      <c r="E7" s="24" t="s">
        <v>25</v>
      </c>
      <c r="F7" s="25"/>
      <c r="G7" s="26"/>
      <c r="H7" s="27"/>
    </row>
    <row r="8" spans="1:8" s="2" customFormat="1" ht="20.2" customHeight="1">
      <c r="A8" s="424"/>
      <c r="B8" s="427"/>
      <c r="C8" s="22" t="s">
        <v>17</v>
      </c>
      <c r="D8" s="28" t="s">
        <v>367</v>
      </c>
      <c r="E8" s="29" t="s">
        <v>368</v>
      </c>
      <c r="F8" s="25"/>
      <c r="G8" s="26"/>
      <c r="H8" s="27">
        <v>2</v>
      </c>
    </row>
    <row r="9" spans="1:8" s="2" customFormat="1" ht="20.2" customHeight="1">
      <c r="A9" s="424"/>
      <c r="B9" s="427"/>
      <c r="C9" s="30" t="s">
        <v>20</v>
      </c>
      <c r="D9" s="31" t="s">
        <v>75</v>
      </c>
      <c r="E9" s="29" t="s">
        <v>369</v>
      </c>
      <c r="F9" s="25"/>
      <c r="G9" s="26"/>
      <c r="H9" s="27">
        <v>2</v>
      </c>
    </row>
    <row r="10" spans="1:8" s="2" customFormat="1" ht="20.2" customHeight="1">
      <c r="A10" s="424"/>
      <c r="B10" s="427"/>
      <c r="C10" s="431" t="s">
        <v>23</v>
      </c>
      <c r="D10" s="436" t="s">
        <v>13</v>
      </c>
      <c r="E10" s="29" t="s">
        <v>370</v>
      </c>
      <c r="F10" s="25"/>
      <c r="G10" s="26"/>
      <c r="H10" s="27">
        <v>4</v>
      </c>
    </row>
    <row r="11" spans="1:8" s="2" customFormat="1" ht="20.2" customHeight="1">
      <c r="A11" s="424"/>
      <c r="B11" s="427"/>
      <c r="C11" s="432"/>
      <c r="D11" s="437"/>
      <c r="E11" s="29" t="s">
        <v>371</v>
      </c>
      <c r="F11" s="25"/>
      <c r="G11" s="26"/>
      <c r="H11" s="27">
        <v>4</v>
      </c>
    </row>
    <row r="12" spans="1:8" s="2" customFormat="1" ht="20.2" customHeight="1">
      <c r="A12" s="424"/>
      <c r="B12" s="427"/>
      <c r="C12" s="432"/>
      <c r="D12" s="438"/>
      <c r="E12" s="29" t="s">
        <v>372</v>
      </c>
      <c r="F12" s="25"/>
      <c r="G12" s="26"/>
      <c r="H12" s="27">
        <v>4</v>
      </c>
    </row>
    <row r="13" spans="1:8" s="2" customFormat="1" ht="20.2" customHeight="1">
      <c r="A13" s="424"/>
      <c r="B13" s="427"/>
      <c r="C13" s="432"/>
      <c r="D13" s="438"/>
      <c r="E13" s="29" t="s">
        <v>373</v>
      </c>
      <c r="F13" s="25"/>
      <c r="G13" s="26"/>
      <c r="H13" s="27">
        <v>4</v>
      </c>
    </row>
    <row r="14" spans="1:8" s="2" customFormat="1" ht="20.2" customHeight="1">
      <c r="A14" s="424"/>
      <c r="B14" s="427"/>
      <c r="C14" s="433"/>
      <c r="D14" s="439"/>
      <c r="E14" s="29" t="s">
        <v>374</v>
      </c>
      <c r="F14" s="25"/>
      <c r="G14" s="26"/>
      <c r="H14" s="27">
        <v>4</v>
      </c>
    </row>
    <row r="15" spans="1:8" s="2" customFormat="1" ht="20.2" customHeight="1">
      <c r="A15" s="424"/>
      <c r="B15" s="427"/>
      <c r="C15" s="16" t="s">
        <v>30</v>
      </c>
      <c r="D15" s="32" t="s">
        <v>13</v>
      </c>
      <c r="E15" s="29" t="s">
        <v>375</v>
      </c>
      <c r="F15" s="25"/>
      <c r="G15" s="26"/>
      <c r="H15" s="27">
        <v>2</v>
      </c>
    </row>
    <row r="16" spans="1:8" s="2" customFormat="1" ht="20.2" customHeight="1">
      <c r="A16" s="424"/>
      <c r="B16" s="427"/>
      <c r="C16" s="434" t="s">
        <v>33</v>
      </c>
      <c r="D16" s="440" t="s">
        <v>376</v>
      </c>
      <c r="E16" s="29" t="s">
        <v>377</v>
      </c>
      <c r="F16" s="25"/>
      <c r="G16" s="26"/>
      <c r="H16" s="27">
        <v>6</v>
      </c>
    </row>
    <row r="17" spans="1:8" s="2" customFormat="1" ht="20.2" customHeight="1">
      <c r="A17" s="424"/>
      <c r="B17" s="427"/>
      <c r="C17" s="434"/>
      <c r="D17" s="441"/>
      <c r="E17" s="29" t="s">
        <v>378</v>
      </c>
      <c r="F17" s="33"/>
      <c r="G17" s="34"/>
      <c r="H17" s="35">
        <v>2</v>
      </c>
    </row>
    <row r="18" spans="1:8" s="2" customFormat="1" ht="20.2" customHeight="1">
      <c r="A18" s="424"/>
      <c r="B18" s="428"/>
      <c r="C18" s="435"/>
      <c r="D18" s="442"/>
      <c r="E18" s="36"/>
      <c r="F18" s="25"/>
      <c r="G18" s="26"/>
      <c r="H18" s="27"/>
    </row>
    <row r="19" spans="1:8" s="2" customFormat="1" ht="20.2" customHeight="1">
      <c r="A19" s="424"/>
      <c r="B19" s="260" t="s">
        <v>37</v>
      </c>
      <c r="C19" s="451" t="s">
        <v>379</v>
      </c>
      <c r="D19" s="452"/>
      <c r="E19" s="404"/>
      <c r="F19" s="405"/>
      <c r="G19" s="37"/>
      <c r="H19" s="38"/>
    </row>
    <row r="20" spans="1:8" s="2" customFormat="1" ht="20.2" customHeight="1">
      <c r="A20" s="424"/>
      <c r="B20" s="261"/>
      <c r="C20" s="453"/>
      <c r="D20" s="454"/>
      <c r="E20" s="406" t="s">
        <v>39</v>
      </c>
      <c r="F20" s="407"/>
      <c r="G20" s="39"/>
      <c r="H20" s="40">
        <f>SUM(H6:H19)</f>
        <v>34</v>
      </c>
    </row>
    <row r="21" spans="1:8" s="2" customFormat="1" ht="20.2" customHeight="1">
      <c r="A21" s="424"/>
      <c r="B21" s="262" t="s">
        <v>40</v>
      </c>
      <c r="C21" s="461" t="s">
        <v>41</v>
      </c>
      <c r="D21" s="462"/>
      <c r="E21" s="41" t="s">
        <v>42</v>
      </c>
      <c r="F21" s="42"/>
      <c r="G21" s="42"/>
      <c r="H21" s="43"/>
    </row>
    <row r="22" spans="1:8" s="2" customFormat="1" ht="20.2" customHeight="1">
      <c r="A22" s="424"/>
      <c r="B22" s="263"/>
      <c r="C22" s="463"/>
      <c r="D22" s="464"/>
      <c r="E22" s="408" t="s">
        <v>43</v>
      </c>
      <c r="F22" s="409"/>
      <c r="G22" s="236" t="s">
        <v>44</v>
      </c>
      <c r="H22" s="237"/>
    </row>
    <row r="23" spans="1:8" s="2" customFormat="1" ht="20.2" customHeight="1">
      <c r="A23" s="424"/>
      <c r="B23" s="429" t="s">
        <v>46</v>
      </c>
      <c r="C23" s="455" t="s">
        <v>380</v>
      </c>
      <c r="D23" s="456"/>
      <c r="E23" s="443" t="s">
        <v>84</v>
      </c>
      <c r="F23" s="444"/>
      <c r="G23" s="298" t="s">
        <v>49</v>
      </c>
      <c r="H23" s="299"/>
    </row>
    <row r="24" spans="1:8" s="2" customFormat="1" ht="20.2" customHeight="1">
      <c r="A24" s="424"/>
      <c r="B24" s="427"/>
      <c r="C24" s="457"/>
      <c r="D24" s="458"/>
      <c r="E24" s="445"/>
      <c r="F24" s="446"/>
      <c r="G24" s="300"/>
      <c r="H24" s="301"/>
    </row>
    <row r="25" spans="1:8" s="2" customFormat="1" ht="20.2" customHeight="1">
      <c r="A25" s="424"/>
      <c r="B25" s="427"/>
      <c r="C25" s="457"/>
      <c r="D25" s="458"/>
      <c r="E25" s="445"/>
      <c r="F25" s="446"/>
      <c r="G25" s="300"/>
      <c r="H25" s="301"/>
    </row>
    <row r="26" spans="1:8" s="2" customFormat="1" ht="20.2" customHeight="1">
      <c r="A26" s="424"/>
      <c r="B26" s="427"/>
      <c r="C26" s="457"/>
      <c r="D26" s="458"/>
      <c r="E26" s="447"/>
      <c r="F26" s="448"/>
      <c r="G26" s="302"/>
      <c r="H26" s="303"/>
    </row>
    <row r="27" spans="1:8" s="2" customFormat="1" ht="20.2" customHeight="1">
      <c r="A27" s="424"/>
      <c r="B27" s="428"/>
      <c r="C27" s="459"/>
      <c r="D27" s="460"/>
      <c r="E27" s="410" t="s">
        <v>51</v>
      </c>
      <c r="F27" s="411"/>
      <c r="G27" s="411"/>
      <c r="H27" s="412"/>
    </row>
    <row r="28" spans="1:8" s="2" customFormat="1" ht="20.2" customHeight="1">
      <c r="A28" s="424"/>
      <c r="B28" s="429" t="s">
        <v>52</v>
      </c>
      <c r="C28" s="45"/>
      <c r="D28" s="46"/>
      <c r="E28" s="413" t="s">
        <v>53</v>
      </c>
      <c r="F28" s="414"/>
      <c r="G28" s="414"/>
      <c r="H28" s="415"/>
    </row>
    <row r="29" spans="1:8" s="2" customFormat="1" ht="20.2" customHeight="1">
      <c r="A29" s="424"/>
      <c r="B29" s="427"/>
      <c r="C29" s="44"/>
      <c r="D29" s="47"/>
      <c r="E29" s="416" t="s">
        <v>54</v>
      </c>
      <c r="F29" s="417"/>
      <c r="G29" s="411" t="s">
        <v>55</v>
      </c>
      <c r="H29" s="412"/>
    </row>
    <row r="30" spans="1:8" s="2" customFormat="1" ht="20.2" customHeight="1">
      <c r="A30" s="424"/>
      <c r="B30" s="427"/>
      <c r="C30" s="48"/>
      <c r="E30" s="36" t="s">
        <v>56</v>
      </c>
      <c r="F30" s="49"/>
      <c r="G30" s="449" t="s">
        <v>381</v>
      </c>
      <c r="H30" s="450"/>
    </row>
    <row r="31" spans="1:8" s="2" customFormat="1" ht="20.2" customHeight="1">
      <c r="A31" s="424"/>
      <c r="B31" s="427"/>
      <c r="C31" s="48"/>
      <c r="D31" s="47"/>
      <c r="E31" s="50" t="s">
        <v>382</v>
      </c>
      <c r="F31" s="51"/>
      <c r="G31" s="449"/>
      <c r="H31" s="450"/>
    </row>
    <row r="32" spans="1:8" s="2" customFormat="1" ht="20.2" customHeight="1">
      <c r="A32" s="424"/>
      <c r="B32" s="427"/>
      <c r="C32" s="48"/>
      <c r="D32" s="47"/>
      <c r="E32" s="36" t="s">
        <v>59</v>
      </c>
      <c r="F32" s="51"/>
      <c r="G32" s="449"/>
      <c r="H32" s="450"/>
    </row>
    <row r="33" spans="1:8" s="2" customFormat="1" ht="20.2" customHeight="1">
      <c r="A33" s="424"/>
      <c r="B33" s="427"/>
      <c r="C33" s="48"/>
      <c r="D33" s="47"/>
      <c r="E33" s="52" t="s">
        <v>60</v>
      </c>
      <c r="F33" s="53"/>
      <c r="G33" s="449"/>
      <c r="H33" s="450"/>
    </row>
    <row r="34" spans="1:8" s="2" customFormat="1" ht="20.2" customHeight="1">
      <c r="A34" s="424"/>
      <c r="B34" s="427"/>
      <c r="C34" s="48"/>
      <c r="D34" s="47"/>
      <c r="E34" s="416" t="s">
        <v>61</v>
      </c>
      <c r="F34" s="418"/>
      <c r="G34" s="418"/>
      <c r="H34" s="419"/>
    </row>
    <row r="35" spans="1:8" s="2" customFormat="1" ht="20.2" customHeight="1">
      <c r="A35" s="425"/>
      <c r="B35" s="430"/>
      <c r="C35" s="54" t="s">
        <v>383</v>
      </c>
      <c r="D35" s="55"/>
      <c r="E35" s="420" t="s">
        <v>62</v>
      </c>
      <c r="F35" s="421"/>
      <c r="G35" s="421"/>
      <c r="H35" s="422"/>
    </row>
    <row r="36" spans="1:8" s="2" customFormat="1" ht="20.2" customHeight="1">
      <c r="A36" s="56" t="s">
        <v>63</v>
      </c>
      <c r="C36" s="2" t="s">
        <v>64</v>
      </c>
      <c r="E36" s="2" t="s">
        <v>65</v>
      </c>
    </row>
  </sheetData>
  <mergeCells count="28">
    <mergeCell ref="E35:H35"/>
    <mergeCell ref="A6:A35"/>
    <mergeCell ref="B6:B18"/>
    <mergeCell ref="B19:B20"/>
    <mergeCell ref="B21:B22"/>
    <mergeCell ref="B23:B27"/>
    <mergeCell ref="B28:B35"/>
    <mergeCell ref="C10:C14"/>
    <mergeCell ref="C16:C18"/>
    <mergeCell ref="D10:D14"/>
    <mergeCell ref="D16:D18"/>
    <mergeCell ref="E23:F26"/>
    <mergeCell ref="G23:H26"/>
    <mergeCell ref="G30:H33"/>
    <mergeCell ref="C19:D20"/>
    <mergeCell ref="C23:D27"/>
    <mergeCell ref="E27:H27"/>
    <mergeCell ref="E28:H28"/>
    <mergeCell ref="E29:F29"/>
    <mergeCell ref="G29:H29"/>
    <mergeCell ref="E34:H34"/>
    <mergeCell ref="A2:H2"/>
    <mergeCell ref="B3:C3"/>
    <mergeCell ref="E19:F19"/>
    <mergeCell ref="E20:F20"/>
    <mergeCell ref="E22:F22"/>
    <mergeCell ref="G22:H22"/>
    <mergeCell ref="C21:D22"/>
  </mergeCells>
  <phoneticPr fontId="26" type="noConversion"/>
  <pageMargins left="0.69930555555555596" right="0.69930555555555596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  <pageSetUpPr fitToPage="1"/>
  </sheetPr>
  <dimension ref="A1:H36"/>
  <sheetViews>
    <sheetView showGridLines="0" zoomScale="75" zoomScaleNormal="75" workbookViewId="0">
      <selection activeCell="L17" sqref="L17"/>
    </sheetView>
  </sheetViews>
  <sheetFormatPr defaultColWidth="9" defaultRowHeight="18" customHeight="1"/>
  <cols>
    <col min="1" max="1" width="55.75" style="3" customWidth="1"/>
    <col min="2" max="2" width="10.5625" style="4" customWidth="1"/>
    <col min="3" max="3" width="15.5625" style="4" customWidth="1"/>
    <col min="4" max="4" width="40.5625" style="4" customWidth="1"/>
    <col min="5" max="8" width="15.5625" style="4" customWidth="1"/>
    <col min="9" max="16384" width="9" style="4"/>
  </cols>
  <sheetData>
    <row r="1" spans="1:8" ht="20.2" customHeight="1"/>
    <row r="2" spans="1:8" ht="20.2" customHeight="1">
      <c r="A2" s="402" t="s">
        <v>66</v>
      </c>
      <c r="B2" s="402"/>
      <c r="C2" s="402"/>
      <c r="D2" s="402"/>
      <c r="E2" s="402"/>
      <c r="F2" s="402"/>
      <c r="G2" s="402"/>
      <c r="H2" s="402"/>
    </row>
    <row r="3" spans="1:8" s="57" customFormat="1" ht="20.2" customHeight="1">
      <c r="A3" s="5" t="s">
        <v>361</v>
      </c>
      <c r="B3" s="465" t="s">
        <v>384</v>
      </c>
      <c r="C3" s="465"/>
      <c r="D3" s="58"/>
      <c r="E3" s="59" t="s">
        <v>2</v>
      </c>
      <c r="F3" s="229" t="s">
        <v>3</v>
      </c>
      <c r="G3" s="230" t="s">
        <v>385</v>
      </c>
      <c r="H3" s="230" t="s">
        <v>70</v>
      </c>
    </row>
    <row r="4" spans="1:8" s="2" customFormat="1" ht="20.2" customHeight="1">
      <c r="A4" s="8"/>
      <c r="B4" s="9"/>
      <c r="C4" s="9"/>
      <c r="D4" s="9"/>
      <c r="E4" s="9"/>
      <c r="F4" s="9"/>
      <c r="G4" s="9"/>
      <c r="H4" s="9"/>
    </row>
    <row r="5" spans="1:8" s="2" customFormat="1" ht="20.2" customHeight="1">
      <c r="A5" s="10" t="s">
        <v>6</v>
      </c>
      <c r="B5" s="11" t="s">
        <v>7</v>
      </c>
      <c r="C5" s="12"/>
      <c r="D5" s="13"/>
      <c r="E5" s="12" t="s">
        <v>8</v>
      </c>
      <c r="F5" s="12"/>
      <c r="G5" s="14"/>
      <c r="H5" s="15" t="s">
        <v>9</v>
      </c>
    </row>
    <row r="6" spans="1:8" s="2" customFormat="1" ht="20.2" customHeight="1">
      <c r="A6" s="423" t="s">
        <v>386</v>
      </c>
      <c r="B6" s="426" t="s">
        <v>11</v>
      </c>
      <c r="C6" s="16" t="s">
        <v>12</v>
      </c>
      <c r="D6" s="17" t="s">
        <v>365</v>
      </c>
      <c r="E6" s="18"/>
      <c r="F6" s="19"/>
      <c r="G6" s="20"/>
      <c r="H6" s="21"/>
    </row>
    <row r="7" spans="1:8" s="2" customFormat="1" ht="20.2" customHeight="1">
      <c r="A7" s="424"/>
      <c r="B7" s="427"/>
      <c r="C7" s="22" t="s">
        <v>14</v>
      </c>
      <c r="D7" s="23" t="s">
        <v>387</v>
      </c>
      <c r="E7" s="24" t="s">
        <v>25</v>
      </c>
      <c r="F7" s="25"/>
      <c r="G7" s="26"/>
      <c r="H7" s="27"/>
    </row>
    <row r="8" spans="1:8" s="2" customFormat="1" ht="20.2" customHeight="1">
      <c r="A8" s="424"/>
      <c r="B8" s="427"/>
      <c r="C8" s="22" t="s">
        <v>17</v>
      </c>
      <c r="D8" s="28" t="s">
        <v>367</v>
      </c>
      <c r="E8" s="29" t="s">
        <v>368</v>
      </c>
      <c r="F8" s="25"/>
      <c r="G8" s="26"/>
      <c r="H8" s="27">
        <v>2</v>
      </c>
    </row>
    <row r="9" spans="1:8" s="2" customFormat="1" ht="20.2" customHeight="1">
      <c r="A9" s="424"/>
      <c r="B9" s="427"/>
      <c r="C9" s="30" t="s">
        <v>20</v>
      </c>
      <c r="D9" s="31" t="s">
        <v>75</v>
      </c>
      <c r="E9" s="29" t="s">
        <v>369</v>
      </c>
      <c r="F9" s="25"/>
      <c r="G9" s="26"/>
      <c r="H9" s="27">
        <v>2</v>
      </c>
    </row>
    <row r="10" spans="1:8" s="2" customFormat="1" ht="20.2" customHeight="1">
      <c r="A10" s="424"/>
      <c r="B10" s="427"/>
      <c r="C10" s="431" t="s">
        <v>23</v>
      </c>
      <c r="D10" s="436" t="s">
        <v>13</v>
      </c>
      <c r="E10" s="29" t="s">
        <v>370</v>
      </c>
      <c r="F10" s="25"/>
      <c r="G10" s="26"/>
      <c r="H10" s="27">
        <v>4</v>
      </c>
    </row>
    <row r="11" spans="1:8" s="2" customFormat="1" ht="20.2" customHeight="1">
      <c r="A11" s="424"/>
      <c r="B11" s="427"/>
      <c r="C11" s="432"/>
      <c r="D11" s="437"/>
      <c r="E11" s="29" t="s">
        <v>371</v>
      </c>
      <c r="F11" s="25"/>
      <c r="G11" s="26"/>
      <c r="H11" s="27">
        <v>4</v>
      </c>
    </row>
    <row r="12" spans="1:8" s="2" customFormat="1" ht="20.2" customHeight="1">
      <c r="A12" s="424"/>
      <c r="B12" s="427"/>
      <c r="C12" s="432"/>
      <c r="D12" s="438"/>
      <c r="E12" s="29" t="s">
        <v>372</v>
      </c>
      <c r="F12" s="25"/>
      <c r="G12" s="26"/>
      <c r="H12" s="27">
        <v>4</v>
      </c>
    </row>
    <row r="13" spans="1:8" s="2" customFormat="1" ht="20.2" customHeight="1">
      <c r="A13" s="424"/>
      <c r="B13" s="427"/>
      <c r="C13" s="432"/>
      <c r="D13" s="438"/>
      <c r="E13" s="29" t="s">
        <v>373</v>
      </c>
      <c r="F13" s="25"/>
      <c r="G13" s="26"/>
      <c r="H13" s="27">
        <v>4</v>
      </c>
    </row>
    <row r="14" spans="1:8" s="2" customFormat="1" ht="20.2" customHeight="1">
      <c r="A14" s="424"/>
      <c r="B14" s="427"/>
      <c r="C14" s="433"/>
      <c r="D14" s="439"/>
      <c r="E14" s="29" t="s">
        <v>374</v>
      </c>
      <c r="F14" s="25"/>
      <c r="G14" s="26"/>
      <c r="H14" s="27">
        <v>4</v>
      </c>
    </row>
    <row r="15" spans="1:8" s="2" customFormat="1" ht="20.2" customHeight="1">
      <c r="A15" s="424"/>
      <c r="B15" s="427"/>
      <c r="C15" s="16" t="s">
        <v>30</v>
      </c>
      <c r="D15" s="32" t="s">
        <v>13</v>
      </c>
      <c r="E15" s="29" t="s">
        <v>375</v>
      </c>
      <c r="F15" s="25"/>
      <c r="G15" s="26"/>
      <c r="H15" s="27">
        <v>2</v>
      </c>
    </row>
    <row r="16" spans="1:8" s="2" customFormat="1" ht="20.2" customHeight="1">
      <c r="A16" s="424"/>
      <c r="B16" s="427"/>
      <c r="C16" s="434" t="s">
        <v>33</v>
      </c>
      <c r="D16" s="440" t="s">
        <v>388</v>
      </c>
      <c r="E16" s="29" t="s">
        <v>377</v>
      </c>
      <c r="F16" s="25"/>
      <c r="G16" s="26"/>
      <c r="H16" s="27">
        <v>6</v>
      </c>
    </row>
    <row r="17" spans="1:8" s="2" customFormat="1" ht="20.2" customHeight="1">
      <c r="A17" s="424"/>
      <c r="B17" s="427"/>
      <c r="C17" s="434"/>
      <c r="D17" s="441"/>
      <c r="E17" s="29" t="s">
        <v>378</v>
      </c>
      <c r="F17" s="33"/>
      <c r="G17" s="34"/>
      <c r="H17" s="35">
        <v>2</v>
      </c>
    </row>
    <row r="18" spans="1:8" s="2" customFormat="1" ht="20.2" customHeight="1">
      <c r="A18" s="424"/>
      <c r="B18" s="428"/>
      <c r="C18" s="435"/>
      <c r="D18" s="442"/>
      <c r="E18" s="36"/>
      <c r="F18" s="25"/>
      <c r="G18" s="26"/>
      <c r="H18" s="27"/>
    </row>
    <row r="19" spans="1:8" s="2" customFormat="1" ht="20.2" customHeight="1">
      <c r="A19" s="424"/>
      <c r="B19" s="260" t="s">
        <v>37</v>
      </c>
      <c r="C19" s="471" t="s">
        <v>389</v>
      </c>
      <c r="D19" s="472"/>
      <c r="E19" s="404"/>
      <c r="F19" s="405"/>
      <c r="G19" s="37"/>
      <c r="H19" s="38"/>
    </row>
    <row r="20" spans="1:8" s="2" customFormat="1" ht="20.2" customHeight="1">
      <c r="A20" s="424"/>
      <c r="B20" s="261"/>
      <c r="C20" s="473"/>
      <c r="D20" s="474"/>
      <c r="E20" s="406" t="s">
        <v>39</v>
      </c>
      <c r="F20" s="407"/>
      <c r="G20" s="39"/>
      <c r="H20" s="40">
        <f>SUM(H6:H19)</f>
        <v>34</v>
      </c>
    </row>
    <row r="21" spans="1:8" s="2" customFormat="1" ht="20.2" customHeight="1">
      <c r="A21" s="424"/>
      <c r="B21" s="262" t="s">
        <v>40</v>
      </c>
      <c r="C21" s="461" t="s">
        <v>41</v>
      </c>
      <c r="D21" s="462"/>
      <c r="E21" s="41" t="s">
        <v>42</v>
      </c>
      <c r="F21" s="42"/>
      <c r="G21" s="42"/>
      <c r="H21" s="43"/>
    </row>
    <row r="22" spans="1:8" s="2" customFormat="1" ht="20.2" customHeight="1">
      <c r="A22" s="424"/>
      <c r="B22" s="263"/>
      <c r="C22" s="463"/>
      <c r="D22" s="464"/>
      <c r="E22" s="408" t="s">
        <v>43</v>
      </c>
      <c r="F22" s="409"/>
      <c r="G22" s="236" t="s">
        <v>44</v>
      </c>
      <c r="H22" s="237"/>
    </row>
    <row r="23" spans="1:8" s="2" customFormat="1" ht="20.2" customHeight="1">
      <c r="A23" s="424"/>
      <c r="B23" s="429" t="s">
        <v>46</v>
      </c>
      <c r="C23" s="455" t="s">
        <v>390</v>
      </c>
      <c r="D23" s="456"/>
      <c r="E23" s="443" t="s">
        <v>84</v>
      </c>
      <c r="F23" s="444"/>
      <c r="G23" s="298" t="s">
        <v>49</v>
      </c>
      <c r="H23" s="299"/>
    </row>
    <row r="24" spans="1:8" s="2" customFormat="1" ht="20.2" customHeight="1">
      <c r="A24" s="424"/>
      <c r="B24" s="427"/>
      <c r="C24" s="457"/>
      <c r="D24" s="458"/>
      <c r="E24" s="445"/>
      <c r="F24" s="446"/>
      <c r="G24" s="300"/>
      <c r="H24" s="301"/>
    </row>
    <row r="25" spans="1:8" s="2" customFormat="1" ht="20.2" customHeight="1">
      <c r="A25" s="424"/>
      <c r="B25" s="427"/>
      <c r="C25" s="457"/>
      <c r="D25" s="458"/>
      <c r="E25" s="445"/>
      <c r="F25" s="446"/>
      <c r="G25" s="300"/>
      <c r="H25" s="301"/>
    </row>
    <row r="26" spans="1:8" s="2" customFormat="1" ht="20.2" customHeight="1">
      <c r="A26" s="424"/>
      <c r="B26" s="427"/>
      <c r="C26" s="457"/>
      <c r="D26" s="458"/>
      <c r="E26" s="447"/>
      <c r="F26" s="448"/>
      <c r="G26" s="302"/>
      <c r="H26" s="303"/>
    </row>
    <row r="27" spans="1:8" s="2" customFormat="1" ht="20.2" customHeight="1">
      <c r="A27" s="424"/>
      <c r="B27" s="428"/>
      <c r="C27" s="459"/>
      <c r="D27" s="460"/>
      <c r="E27" s="410" t="s">
        <v>51</v>
      </c>
      <c r="F27" s="411"/>
      <c r="G27" s="411"/>
      <c r="H27" s="412"/>
    </row>
    <row r="28" spans="1:8" s="2" customFormat="1" ht="20.2" customHeight="1">
      <c r="A28" s="424"/>
      <c r="B28" s="429" t="s">
        <v>52</v>
      </c>
      <c r="C28" s="45"/>
      <c r="D28" s="46"/>
      <c r="E28" s="413" t="s">
        <v>53</v>
      </c>
      <c r="F28" s="414"/>
      <c r="G28" s="414"/>
      <c r="H28" s="415"/>
    </row>
    <row r="29" spans="1:8" s="2" customFormat="1" ht="20.2" customHeight="1">
      <c r="A29" s="424"/>
      <c r="B29" s="427"/>
      <c r="C29" s="44"/>
      <c r="D29" s="47"/>
      <c r="E29" s="416" t="s">
        <v>54</v>
      </c>
      <c r="F29" s="417"/>
      <c r="G29" s="411" t="s">
        <v>55</v>
      </c>
      <c r="H29" s="466"/>
    </row>
    <row r="30" spans="1:8" s="2" customFormat="1" ht="20.2" customHeight="1">
      <c r="A30" s="424"/>
      <c r="B30" s="427"/>
      <c r="C30" s="48"/>
      <c r="E30" s="36" t="s">
        <v>56</v>
      </c>
      <c r="F30" s="49"/>
      <c r="G30" s="449" t="s">
        <v>381</v>
      </c>
      <c r="H30" s="450"/>
    </row>
    <row r="31" spans="1:8" s="2" customFormat="1" ht="20.2" customHeight="1">
      <c r="A31" s="424"/>
      <c r="B31" s="427"/>
      <c r="C31" s="48"/>
      <c r="D31" s="47"/>
      <c r="E31" s="50" t="s">
        <v>391</v>
      </c>
      <c r="F31" s="51"/>
      <c r="G31" s="449"/>
      <c r="H31" s="450"/>
    </row>
    <row r="32" spans="1:8" s="2" customFormat="1" ht="20.2" customHeight="1">
      <c r="A32" s="424"/>
      <c r="B32" s="427"/>
      <c r="C32" s="48"/>
      <c r="D32" s="47"/>
      <c r="E32" s="36" t="s">
        <v>59</v>
      </c>
      <c r="F32" s="51"/>
      <c r="G32" s="449"/>
      <c r="H32" s="450"/>
    </row>
    <row r="33" spans="1:8" s="2" customFormat="1" ht="20.2" customHeight="1">
      <c r="A33" s="424"/>
      <c r="B33" s="427"/>
      <c r="C33" s="48"/>
      <c r="D33" s="47"/>
      <c r="E33" s="52" t="s">
        <v>60</v>
      </c>
      <c r="F33" s="53"/>
      <c r="G33" s="449"/>
      <c r="H33" s="450"/>
    </row>
    <row r="34" spans="1:8" s="2" customFormat="1" ht="20.2" customHeight="1">
      <c r="A34" s="424"/>
      <c r="B34" s="427"/>
      <c r="C34" s="48"/>
      <c r="D34" s="47"/>
      <c r="E34" s="416" t="s">
        <v>61</v>
      </c>
      <c r="F34" s="418"/>
      <c r="G34" s="418"/>
      <c r="H34" s="467"/>
    </row>
    <row r="35" spans="1:8" s="2" customFormat="1" ht="20.2" customHeight="1">
      <c r="A35" s="425"/>
      <c r="B35" s="430"/>
      <c r="C35" s="54" t="s">
        <v>392</v>
      </c>
      <c r="D35" s="55"/>
      <c r="E35" s="468" t="s">
        <v>62</v>
      </c>
      <c r="F35" s="469"/>
      <c r="G35" s="469"/>
      <c r="H35" s="470"/>
    </row>
    <row r="36" spans="1:8" s="2" customFormat="1" ht="20.2" customHeight="1">
      <c r="A36" s="56" t="s">
        <v>63</v>
      </c>
      <c r="C36" s="2" t="s">
        <v>64</v>
      </c>
      <c r="E36" s="2" t="s">
        <v>65</v>
      </c>
    </row>
  </sheetData>
  <mergeCells count="28">
    <mergeCell ref="E35:H35"/>
    <mergeCell ref="A6:A35"/>
    <mergeCell ref="B6:B18"/>
    <mergeCell ref="B19:B20"/>
    <mergeCell ref="B21:B22"/>
    <mergeCell ref="B23:B27"/>
    <mergeCell ref="B28:B35"/>
    <mergeCell ref="C10:C14"/>
    <mergeCell ref="C16:C18"/>
    <mergeCell ref="D10:D14"/>
    <mergeCell ref="D16:D18"/>
    <mergeCell ref="C23:D27"/>
    <mergeCell ref="E23:F26"/>
    <mergeCell ref="G23:H26"/>
    <mergeCell ref="C19:D20"/>
    <mergeCell ref="C21:D22"/>
    <mergeCell ref="E27:H27"/>
    <mergeCell ref="E28:H28"/>
    <mergeCell ref="E29:F29"/>
    <mergeCell ref="G29:H29"/>
    <mergeCell ref="E34:H34"/>
    <mergeCell ref="G30:H33"/>
    <mergeCell ref="A2:H2"/>
    <mergeCell ref="B3:C3"/>
    <mergeCell ref="E19:F19"/>
    <mergeCell ref="E20:F20"/>
    <mergeCell ref="E22:F22"/>
    <mergeCell ref="G22:H22"/>
  </mergeCells>
  <phoneticPr fontId="26" type="noConversion"/>
  <pageMargins left="0.69930555555555596" right="0.69930555555555596" top="0.75" bottom="0.75" header="0.3" footer="0.3"/>
  <pageSetup paperSize="9" scale="6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H36"/>
  <sheetViews>
    <sheetView showGridLines="0" topLeftCell="A7" zoomScale="75" zoomScaleNormal="75" workbookViewId="0">
      <selection activeCell="K32" sqref="K32"/>
    </sheetView>
  </sheetViews>
  <sheetFormatPr defaultColWidth="9" defaultRowHeight="18" customHeight="1"/>
  <cols>
    <col min="1" max="1" width="60.5625" style="3" customWidth="1"/>
    <col min="2" max="2" width="10.5625" style="4" customWidth="1"/>
    <col min="3" max="3" width="15.5625" style="4" customWidth="1"/>
    <col min="4" max="4" width="40.5625" style="4" customWidth="1"/>
    <col min="5" max="8" width="15.5625" style="4" customWidth="1"/>
    <col min="9" max="16384" width="9" style="4"/>
  </cols>
  <sheetData>
    <row r="1" spans="1:8" ht="20.2" customHeight="1"/>
    <row r="2" spans="1:8" ht="20.2" customHeight="1">
      <c r="A2" s="402" t="s">
        <v>66</v>
      </c>
      <c r="B2" s="402"/>
      <c r="C2" s="402"/>
      <c r="D2" s="402"/>
      <c r="E2" s="402"/>
      <c r="F2" s="402"/>
      <c r="G2" s="402"/>
      <c r="H2" s="402"/>
    </row>
    <row r="3" spans="1:8" s="1" customFormat="1" ht="20.2" customHeight="1">
      <c r="A3" s="5" t="s">
        <v>361</v>
      </c>
      <c r="B3" s="475" t="s">
        <v>393</v>
      </c>
      <c r="C3" s="475"/>
      <c r="D3" s="6"/>
      <c r="E3" s="7" t="s">
        <v>2</v>
      </c>
      <c r="F3" s="229" t="s">
        <v>3</v>
      </c>
      <c r="G3" s="230" t="s">
        <v>363</v>
      </c>
      <c r="H3" s="230" t="s">
        <v>70</v>
      </c>
    </row>
    <row r="4" spans="1:8" s="2" customFormat="1" ht="20.2" customHeight="1">
      <c r="A4" s="8"/>
      <c r="B4" s="9"/>
      <c r="C4" s="9"/>
      <c r="D4" s="9"/>
      <c r="E4" s="9"/>
      <c r="F4" s="9"/>
      <c r="G4" s="9"/>
      <c r="H4" s="9"/>
    </row>
    <row r="5" spans="1:8" s="2" customFormat="1" ht="20.2" customHeight="1">
      <c r="A5" s="10" t="s">
        <v>6</v>
      </c>
      <c r="B5" s="11" t="s">
        <v>7</v>
      </c>
      <c r="C5" s="12"/>
      <c r="D5" s="13"/>
      <c r="E5" s="12" t="s">
        <v>8</v>
      </c>
      <c r="F5" s="12"/>
      <c r="G5" s="14"/>
      <c r="H5" s="15" t="s">
        <v>9</v>
      </c>
    </row>
    <row r="6" spans="1:8" s="2" customFormat="1" ht="20.2" customHeight="1">
      <c r="A6" s="423" t="s">
        <v>394</v>
      </c>
      <c r="B6" s="426" t="s">
        <v>11</v>
      </c>
      <c r="C6" s="16" t="s">
        <v>12</v>
      </c>
      <c r="D6" s="17" t="s">
        <v>365</v>
      </c>
      <c r="E6" s="18"/>
      <c r="F6" s="19"/>
      <c r="G6" s="20"/>
      <c r="H6" s="21"/>
    </row>
    <row r="7" spans="1:8" s="2" customFormat="1" ht="20.2" customHeight="1">
      <c r="A7" s="424"/>
      <c r="B7" s="427"/>
      <c r="C7" s="22" t="s">
        <v>14</v>
      </c>
      <c r="D7" s="23" t="s">
        <v>366</v>
      </c>
      <c r="E7" s="24" t="s">
        <v>25</v>
      </c>
      <c r="F7" s="25"/>
      <c r="G7" s="26"/>
      <c r="H7" s="27"/>
    </row>
    <row r="8" spans="1:8" s="2" customFormat="1" ht="20.2" customHeight="1">
      <c r="A8" s="424"/>
      <c r="B8" s="427"/>
      <c r="C8" s="22" t="s">
        <v>17</v>
      </c>
      <c r="D8" s="28" t="s">
        <v>367</v>
      </c>
      <c r="E8" s="29" t="s">
        <v>368</v>
      </c>
      <c r="F8" s="25"/>
      <c r="G8" s="26"/>
      <c r="H8" s="27">
        <v>2</v>
      </c>
    </row>
    <row r="9" spans="1:8" s="2" customFormat="1" ht="20.2" customHeight="1">
      <c r="A9" s="424"/>
      <c r="B9" s="427"/>
      <c r="C9" s="30" t="s">
        <v>20</v>
      </c>
      <c r="D9" s="31" t="s">
        <v>367</v>
      </c>
      <c r="E9" s="29" t="s">
        <v>369</v>
      </c>
      <c r="F9" s="25"/>
      <c r="G9" s="26"/>
      <c r="H9" s="27">
        <v>2</v>
      </c>
    </row>
    <row r="10" spans="1:8" s="2" customFormat="1" ht="20.2" customHeight="1">
      <c r="A10" s="424"/>
      <c r="B10" s="427"/>
      <c r="C10" s="431" t="s">
        <v>23</v>
      </c>
      <c r="D10" s="436" t="s">
        <v>13</v>
      </c>
      <c r="E10" s="29" t="s">
        <v>370</v>
      </c>
      <c r="F10" s="25"/>
      <c r="G10" s="26"/>
      <c r="H10" s="27">
        <v>4</v>
      </c>
    </row>
    <row r="11" spans="1:8" s="2" customFormat="1" ht="20.2" customHeight="1">
      <c r="A11" s="424"/>
      <c r="B11" s="427"/>
      <c r="C11" s="432"/>
      <c r="D11" s="437"/>
      <c r="E11" s="29" t="s">
        <v>371</v>
      </c>
      <c r="F11" s="25"/>
      <c r="G11" s="26"/>
      <c r="H11" s="27">
        <v>4</v>
      </c>
    </row>
    <row r="12" spans="1:8" s="2" customFormat="1" ht="20.2" customHeight="1">
      <c r="A12" s="424"/>
      <c r="B12" s="427"/>
      <c r="C12" s="432"/>
      <c r="D12" s="438"/>
      <c r="E12" s="29" t="s">
        <v>372</v>
      </c>
      <c r="F12" s="25"/>
      <c r="G12" s="26"/>
      <c r="H12" s="27">
        <v>4</v>
      </c>
    </row>
    <row r="13" spans="1:8" s="2" customFormat="1" ht="20.2" customHeight="1">
      <c r="A13" s="424"/>
      <c r="B13" s="427"/>
      <c r="C13" s="432"/>
      <c r="D13" s="438"/>
      <c r="E13" s="29" t="s">
        <v>373</v>
      </c>
      <c r="F13" s="25"/>
      <c r="G13" s="26"/>
      <c r="H13" s="27">
        <v>4</v>
      </c>
    </row>
    <row r="14" spans="1:8" s="2" customFormat="1" ht="20.2" customHeight="1">
      <c r="A14" s="424"/>
      <c r="B14" s="427"/>
      <c r="C14" s="433"/>
      <c r="D14" s="439"/>
      <c r="E14" s="29" t="s">
        <v>374</v>
      </c>
      <c r="F14" s="25"/>
      <c r="G14" s="26"/>
      <c r="H14" s="27">
        <v>4</v>
      </c>
    </row>
    <row r="15" spans="1:8" s="2" customFormat="1" ht="20.2" customHeight="1">
      <c r="A15" s="424"/>
      <c r="B15" s="427"/>
      <c r="C15" s="16" t="s">
        <v>30</v>
      </c>
      <c r="D15" s="32" t="s">
        <v>13</v>
      </c>
      <c r="E15" s="29" t="s">
        <v>375</v>
      </c>
      <c r="F15" s="25"/>
      <c r="G15" s="26"/>
      <c r="H15" s="27">
        <v>2</v>
      </c>
    </row>
    <row r="16" spans="1:8" s="2" customFormat="1" ht="20.2" customHeight="1">
      <c r="A16" s="424"/>
      <c r="B16" s="427"/>
      <c r="C16" s="434" t="s">
        <v>33</v>
      </c>
      <c r="D16" s="440" t="s">
        <v>395</v>
      </c>
      <c r="E16" s="29" t="s">
        <v>377</v>
      </c>
      <c r="F16" s="25"/>
      <c r="G16" s="26"/>
      <c r="H16" s="27">
        <v>6</v>
      </c>
    </row>
    <row r="17" spans="1:8" s="2" customFormat="1" ht="20.2" customHeight="1">
      <c r="A17" s="424"/>
      <c r="B17" s="427"/>
      <c r="C17" s="434"/>
      <c r="D17" s="441"/>
      <c r="E17" s="29" t="s">
        <v>396</v>
      </c>
      <c r="F17" s="33"/>
      <c r="G17" s="34"/>
      <c r="H17" s="35">
        <v>8</v>
      </c>
    </row>
    <row r="18" spans="1:8" s="2" customFormat="1" ht="20.2" customHeight="1">
      <c r="A18" s="424"/>
      <c r="B18" s="428"/>
      <c r="C18" s="435"/>
      <c r="D18" s="442"/>
      <c r="E18" s="36"/>
      <c r="F18" s="25"/>
      <c r="G18" s="26"/>
      <c r="H18" s="27"/>
    </row>
    <row r="19" spans="1:8" s="2" customFormat="1" ht="20.2" customHeight="1">
      <c r="A19" s="424"/>
      <c r="B19" s="260" t="s">
        <v>37</v>
      </c>
      <c r="C19" s="471" t="s">
        <v>397</v>
      </c>
      <c r="D19" s="472"/>
      <c r="E19" s="404"/>
      <c r="F19" s="405"/>
      <c r="G19" s="37"/>
      <c r="H19" s="38"/>
    </row>
    <row r="20" spans="1:8" s="2" customFormat="1" ht="20.2" customHeight="1">
      <c r="A20" s="424"/>
      <c r="B20" s="261"/>
      <c r="C20" s="473"/>
      <c r="D20" s="474"/>
      <c r="E20" s="406" t="s">
        <v>39</v>
      </c>
      <c r="F20" s="407"/>
      <c r="G20" s="39"/>
      <c r="H20" s="40">
        <f>SUM(H6:H19)</f>
        <v>40</v>
      </c>
    </row>
    <row r="21" spans="1:8" s="2" customFormat="1" ht="20.2" customHeight="1">
      <c r="A21" s="424"/>
      <c r="B21" s="262" t="s">
        <v>40</v>
      </c>
      <c r="C21" s="461" t="s">
        <v>41</v>
      </c>
      <c r="D21" s="462"/>
      <c r="E21" s="41" t="s">
        <v>42</v>
      </c>
      <c r="F21" s="42"/>
      <c r="G21" s="42"/>
      <c r="H21" s="43"/>
    </row>
    <row r="22" spans="1:8" s="2" customFormat="1" ht="20.2" customHeight="1">
      <c r="A22" s="424"/>
      <c r="B22" s="263"/>
      <c r="C22" s="463"/>
      <c r="D22" s="464"/>
      <c r="E22" s="408" t="s">
        <v>43</v>
      </c>
      <c r="F22" s="409"/>
      <c r="G22" s="236" t="s">
        <v>44</v>
      </c>
      <c r="H22" s="237"/>
    </row>
    <row r="23" spans="1:8" s="2" customFormat="1" ht="20.2" customHeight="1">
      <c r="A23" s="424"/>
      <c r="B23" s="429" t="s">
        <v>46</v>
      </c>
      <c r="C23" s="455" t="s">
        <v>398</v>
      </c>
      <c r="D23" s="456"/>
      <c r="E23" s="443" t="s">
        <v>84</v>
      </c>
      <c r="F23" s="444"/>
      <c r="G23" s="298" t="s">
        <v>49</v>
      </c>
      <c r="H23" s="299"/>
    </row>
    <row r="24" spans="1:8" s="2" customFormat="1" ht="20.2" customHeight="1">
      <c r="A24" s="424"/>
      <c r="B24" s="427"/>
      <c r="C24" s="457"/>
      <c r="D24" s="458"/>
      <c r="E24" s="445"/>
      <c r="F24" s="446"/>
      <c r="G24" s="300"/>
      <c r="H24" s="301"/>
    </row>
    <row r="25" spans="1:8" s="2" customFormat="1" ht="20.2" customHeight="1">
      <c r="A25" s="424"/>
      <c r="B25" s="427"/>
      <c r="C25" s="457"/>
      <c r="D25" s="458"/>
      <c r="E25" s="445"/>
      <c r="F25" s="446"/>
      <c r="G25" s="300"/>
      <c r="H25" s="301"/>
    </row>
    <row r="26" spans="1:8" s="2" customFormat="1" ht="20.2" customHeight="1">
      <c r="A26" s="424"/>
      <c r="B26" s="427"/>
      <c r="C26" s="457"/>
      <c r="D26" s="458"/>
      <c r="E26" s="447"/>
      <c r="F26" s="448"/>
      <c r="G26" s="302"/>
      <c r="H26" s="303"/>
    </row>
    <row r="27" spans="1:8" s="2" customFormat="1" ht="20.2" customHeight="1">
      <c r="A27" s="424"/>
      <c r="B27" s="428"/>
      <c r="C27" s="459"/>
      <c r="D27" s="460"/>
      <c r="E27" s="410" t="s">
        <v>51</v>
      </c>
      <c r="F27" s="411"/>
      <c r="G27" s="411"/>
      <c r="H27" s="412"/>
    </row>
    <row r="28" spans="1:8" s="2" customFormat="1" ht="20.2" customHeight="1">
      <c r="A28" s="424"/>
      <c r="B28" s="429" t="s">
        <v>52</v>
      </c>
      <c r="C28" s="45"/>
      <c r="D28" s="46"/>
      <c r="E28" s="413" t="s">
        <v>53</v>
      </c>
      <c r="F28" s="414"/>
      <c r="G28" s="414"/>
      <c r="H28" s="415"/>
    </row>
    <row r="29" spans="1:8" s="2" customFormat="1" ht="20.2" customHeight="1">
      <c r="A29" s="424"/>
      <c r="B29" s="427"/>
      <c r="C29" s="44"/>
      <c r="D29" s="47"/>
      <c r="E29" s="416" t="s">
        <v>54</v>
      </c>
      <c r="F29" s="417"/>
      <c r="G29" s="411" t="s">
        <v>55</v>
      </c>
      <c r="H29" s="412"/>
    </row>
    <row r="30" spans="1:8" s="2" customFormat="1" ht="20.2" customHeight="1">
      <c r="A30" s="424"/>
      <c r="B30" s="427"/>
      <c r="C30" s="48"/>
      <c r="E30" s="36" t="s">
        <v>56</v>
      </c>
      <c r="F30" s="49"/>
      <c r="G30" s="449" t="s">
        <v>381</v>
      </c>
      <c r="H30" s="450"/>
    </row>
    <row r="31" spans="1:8" s="2" customFormat="1" ht="20.2" customHeight="1">
      <c r="A31" s="424"/>
      <c r="B31" s="427"/>
      <c r="C31" s="48"/>
      <c r="D31" s="47"/>
      <c r="E31" s="50" t="s">
        <v>382</v>
      </c>
      <c r="F31" s="51"/>
      <c r="G31" s="449"/>
      <c r="H31" s="450"/>
    </row>
    <row r="32" spans="1:8" s="2" customFormat="1" ht="20.2" customHeight="1">
      <c r="A32" s="424"/>
      <c r="B32" s="427"/>
      <c r="C32" s="48"/>
      <c r="D32" s="47"/>
      <c r="E32" s="36" t="s">
        <v>59</v>
      </c>
      <c r="F32" s="51"/>
      <c r="G32" s="449"/>
      <c r="H32" s="450"/>
    </row>
    <row r="33" spans="1:8" s="2" customFormat="1" ht="20.2" customHeight="1">
      <c r="A33" s="424"/>
      <c r="B33" s="427"/>
      <c r="C33" s="48"/>
      <c r="D33" s="47"/>
      <c r="E33" s="52" t="s">
        <v>60</v>
      </c>
      <c r="F33" s="53"/>
      <c r="G33" s="449"/>
      <c r="H33" s="450"/>
    </row>
    <row r="34" spans="1:8" s="2" customFormat="1" ht="20.2" customHeight="1">
      <c r="A34" s="424"/>
      <c r="B34" s="427"/>
      <c r="C34" s="48"/>
      <c r="D34" s="47"/>
      <c r="E34" s="416" t="s">
        <v>61</v>
      </c>
      <c r="F34" s="418"/>
      <c r="G34" s="418"/>
      <c r="H34" s="419"/>
    </row>
    <row r="35" spans="1:8" s="2" customFormat="1" ht="20.2" customHeight="1">
      <c r="A35" s="425"/>
      <c r="B35" s="430"/>
      <c r="C35" s="54" t="s">
        <v>399</v>
      </c>
      <c r="D35" s="55"/>
      <c r="E35" s="420" t="s">
        <v>62</v>
      </c>
      <c r="F35" s="421"/>
      <c r="G35" s="421"/>
      <c r="H35" s="422"/>
    </row>
    <row r="36" spans="1:8" s="2" customFormat="1" ht="20.2" customHeight="1">
      <c r="A36" s="56" t="s">
        <v>63</v>
      </c>
      <c r="C36" s="2" t="s">
        <v>64</v>
      </c>
      <c r="E36" s="2" t="s">
        <v>65</v>
      </c>
    </row>
  </sheetData>
  <mergeCells count="28">
    <mergeCell ref="E35:H35"/>
    <mergeCell ref="A6:A35"/>
    <mergeCell ref="B6:B18"/>
    <mergeCell ref="B19:B20"/>
    <mergeCell ref="B21:B22"/>
    <mergeCell ref="B23:B27"/>
    <mergeCell ref="B28:B35"/>
    <mergeCell ref="C10:C14"/>
    <mergeCell ref="C16:C18"/>
    <mergeCell ref="D10:D14"/>
    <mergeCell ref="D16:D18"/>
    <mergeCell ref="G30:H33"/>
    <mergeCell ref="C23:D27"/>
    <mergeCell ref="E23:F26"/>
    <mergeCell ref="G23:H26"/>
    <mergeCell ref="C19:D20"/>
    <mergeCell ref="E27:H27"/>
    <mergeCell ref="E28:H28"/>
    <mergeCell ref="E29:F29"/>
    <mergeCell ref="G29:H29"/>
    <mergeCell ref="E34:H34"/>
    <mergeCell ref="A2:H2"/>
    <mergeCell ref="B3:C3"/>
    <mergeCell ref="E19:F19"/>
    <mergeCell ref="E20:F20"/>
    <mergeCell ref="E22:F22"/>
    <mergeCell ref="G22:H22"/>
    <mergeCell ref="C21:D22"/>
  </mergeCells>
  <phoneticPr fontId="26" type="noConversion"/>
  <pageMargins left="0.69930555555555596" right="0.69930555555555596" top="0.75" bottom="0.75" header="0.3" footer="0.3"/>
  <pageSetup paperSize="9" scale="64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2</vt:i4>
      </vt:variant>
    </vt:vector>
  </HeadingPairs>
  <TitlesOfParts>
    <vt:vector size="22" baseType="lpstr">
      <vt:lpstr>1-2储备GM</vt:lpstr>
      <vt:lpstr>1-2政企大客户经理（新增）</vt:lpstr>
      <vt:lpstr>营业所长2025财年SQ1绩效指标库</vt:lpstr>
      <vt:lpstr>1、休食事业中心总监</vt:lpstr>
      <vt:lpstr>2、餐饮事业中心总监</vt:lpstr>
      <vt:lpstr>3、大客事业中心总监</vt:lpstr>
      <vt:lpstr>4、休食大区总监</vt:lpstr>
      <vt:lpstr>5、餐饮大区总监</vt:lpstr>
      <vt:lpstr>6、大客KA渠道总监</vt:lpstr>
      <vt:lpstr>7、大客零食渠道总监</vt:lpstr>
      <vt:lpstr>8、大客会员店渠道总监</vt:lpstr>
      <vt:lpstr>9、大客创新渠道总监</vt:lpstr>
      <vt:lpstr>10、大客餐饮渠道总监</vt:lpstr>
      <vt:lpstr>11、休食省区经理</vt:lpstr>
      <vt:lpstr>12、餐饮省区经理</vt:lpstr>
      <vt:lpstr>13、大客KA渠道经理</vt:lpstr>
      <vt:lpstr>Sheet5</vt:lpstr>
      <vt:lpstr>7-4特通开发业代（新增）</vt:lpstr>
      <vt:lpstr>7-7餐饮管理业代</vt:lpstr>
      <vt:lpstr>7-8批发管理业代（新增）</vt:lpstr>
      <vt:lpstr>'7-7餐饮管理业代'!Print_Area</vt:lpstr>
      <vt:lpstr>'7-8批发管理业代（新增）'!Print_Area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57035575</dc:creator>
  <cp:lastModifiedBy>Lingfeng Jin</cp:lastModifiedBy>
  <cp:lastPrinted>2025-02-16T15:20:00Z</cp:lastPrinted>
  <dcterms:created xsi:type="dcterms:W3CDTF">2011-04-06T02:31:00Z</dcterms:created>
  <dcterms:modified xsi:type="dcterms:W3CDTF">2026-02-25T01:52:42Z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2019百饮营业功能岗位说明书（TT地方）-1204.xlsx</vt:lpwstr>
  </property>
  <property fmtid="{D5CDD505-2E9C-101B-9397-08002B2CF9AE}" pid="3" name="KSOProductBuildVer">
    <vt:lpwstr>2052-12.1.0.24034</vt:lpwstr>
  </property>
  <property fmtid="{D5CDD505-2E9C-101B-9397-08002B2CF9AE}" pid="4" name="ICV">
    <vt:lpwstr>D87987B1A8C54AC3A909096EDA2582B5_13</vt:lpwstr>
  </property>
  <property fmtid="{D5CDD505-2E9C-101B-9397-08002B2CF9AE}" pid="5" name="CalculationRule">
    <vt:i4>0</vt:i4>
  </property>
</Properties>
</file>